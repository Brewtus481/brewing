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saveExternalLinkValues="0" codeName="ThisWorkbook"/>
  <mc:AlternateContent xmlns:mc="http://schemas.openxmlformats.org/markup-compatibility/2006">
    <mc:Choice Requires="x15">
      <x15ac:absPath xmlns:x15ac="http://schemas.microsoft.com/office/spreadsheetml/2010/11/ac" url="C:\Users\micha_000\Desktop\"/>
    </mc:Choice>
  </mc:AlternateContent>
  <xr:revisionPtr revIDLastSave="0" documentId="13_ncr:1_{4CACAE68-409D-44B3-AC3A-561D45CA74F6}" xr6:coauthVersionLast="47" xr6:coauthVersionMax="47" xr10:uidLastSave="{00000000-0000-0000-0000-000000000000}"/>
  <bookViews>
    <workbookView xWindow="-120" yWindow="-120" windowWidth="29040" windowHeight="15990" tabRatio="793" firstSheet="1" activeTab="4" xr2:uid="{00000000-000D-0000-FFFF-FFFF00000000}"/>
  </bookViews>
  <sheets>
    <sheet name="0. Instructions" sheetId="15" r:id="rId1"/>
    <sheet name="1. Water Report Input" sheetId="6" r:id="rId2"/>
    <sheet name="2. Sparge Acidification" sheetId="5" r:id="rId3"/>
    <sheet name="3. Grain Bill Input" sheetId="14" r:id="rId4"/>
    <sheet name="4. Water Adjustment" sheetId="11" r:id="rId5"/>
    <sheet name="5. Adjustment Summary" sheetId="18" r:id="rId6"/>
    <sheet name="6. Data Manager" sheetId="22" r:id="rId7"/>
    <sheet name="Raw Text Summary" sheetId="21" r:id="rId8"/>
    <sheet name="Water Knowledge" sheetId="19" r:id="rId9"/>
  </sheets>
  <definedNames>
    <definedName name="Acid_Required">'2. Sparge Acidification'!$T$53</definedName>
    <definedName name="Acid_Required2">'2. Sparge Acidification'!$T$54</definedName>
    <definedName name="aciditytable">'3. Grain Bill Input'!$K$5:$O$17</definedName>
    <definedName name="acidtable">'4. Water Adjustment'!$T$27:$AJ$35</definedName>
    <definedName name="acidtable2">'4. Water Adjustment'!$AN$26:$BD$34</definedName>
    <definedName name="Adjvaritable">'5. Adjustment Summary'!$L$18:$R$22</definedName>
    <definedName name="alkalinity">'2. Sparge Acidification'!$B$5</definedName>
    <definedName name="colortable">'3. Grain Bill Input'!$P$28:$R$29</definedName>
    <definedName name="Desired_pH">'2. Sparge Acidification'!$B$11</definedName>
    <definedName name="dilution">'4. Water Adjustment'!$A$123:$H$126</definedName>
    <definedName name="frac">'2. Sparge Acidification'!$T$67</definedName>
    <definedName name="frac2">'2. Sparge Acidification'!$T$81</definedName>
    <definedName name="limevaritable">#REF!</definedName>
    <definedName name="mashtable">'3. Grain Bill Input'!$M$28:$O$29</definedName>
    <definedName name="mashvaritable">'3. Grain Bill Input'!$L$31:$X$34</definedName>
    <definedName name="mg_required">'2. Sparge Acidification'!$B$20</definedName>
    <definedName name="mM_required">'2. Sparge Acidification'!$T$69</definedName>
    <definedName name="mm_required2">'2. Sparge Acidification'!$T$83</definedName>
    <definedName name="_xlnm.Print_Area" localSheetId="0">'0. Instructions'!$A$1:$K$190</definedName>
    <definedName name="_xlnm.Print_Area" localSheetId="1">'1. Water Report Input'!$A$1:$D$45</definedName>
    <definedName name="_xlnm.Print_Area" localSheetId="2">'2. Sparge Acidification'!$A$1:$E$27</definedName>
    <definedName name="_xlnm.Print_Area" localSheetId="3">'3. Grain Bill Input'!$A$1:$F$29</definedName>
    <definedName name="_xlnm.Print_Area" localSheetId="4">'4. Water Adjustment'!$A$1:$P$37</definedName>
    <definedName name="_xlnm.Print_Area" localSheetId="5">'5. Adjustment Summary'!$A$1:$I$37</definedName>
    <definedName name="_xlnm.Print_Area" localSheetId="7">'Raw Text Summary'!$A$3:$E$37</definedName>
    <definedName name="_xlnm.Print_Area" localSheetId="8">'Water Knowledge'!$A$1:$K$150</definedName>
    <definedName name="profiles">'4. Water Adjustment'!$A$44:$H$118</definedName>
    <definedName name="sprgvaritable">'2. Sparge Acidification'!$H$59:$J$62</definedName>
    <definedName name="SRMEBCtable">'4. Water Adjustment'!$AC$18:$AG$19</definedName>
    <definedName name="Start_pH">'2. Sparge Acidification'!$B$6</definedName>
    <definedName name="strengthtable">'4. Water Adjustment'!$T$5:$X$8</definedName>
    <definedName name="strengthtable2">'4. Water Adjustment'!$AE$5:$AI$8</definedName>
    <definedName name="strtable">'2. Sparge Acidification'!$A$59:$E$62</definedName>
    <definedName name="strtable2">'2. Sparge Acidification'!$A$86:$E$89</definedName>
    <definedName name="table">'2. Sparge Acidification'!$A$47:$R$55</definedName>
    <definedName name="table2">'2. Sparge Acidification'!$A$74:$R$82</definedName>
    <definedName name="thresholdtable">'5. Adjustment Summary'!$O$30:$P$35</definedName>
    <definedName name="watervaritable">'4. Water Adjustment'!$T$11:$AD$14</definedName>
    <definedName name="watervaritable2">'4. Water Adjustment'!$AI$11:$AR$14</definedName>
  </definedNames>
  <calcPr calcId="181029" iterate="1"/>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C19" i="6" l="1"/>
  <c r="J7" i="14"/>
  <c r="S7" i="14" s="1"/>
  <c r="J8" i="14"/>
  <c r="J9" i="14"/>
  <c r="J10" i="14"/>
  <c r="Q10" i="14" s="1"/>
  <c r="J11" i="14"/>
  <c r="R11" i="14" s="1"/>
  <c r="J12" i="14"/>
  <c r="R12" i="14" s="1"/>
  <c r="J13" i="14"/>
  <c r="S13" i="14" s="1"/>
  <c r="J14" i="14"/>
  <c r="S14" i="14" s="1"/>
  <c r="J15" i="14"/>
  <c r="R15" i="14" s="1"/>
  <c r="J16" i="14"/>
  <c r="R16" i="14" s="1"/>
  <c r="J17" i="14"/>
  <c r="Q17" i="14" s="1"/>
  <c r="J6" i="14"/>
  <c r="S6" i="14" s="1"/>
  <c r="DU2" i="22"/>
  <c r="B70" i="5"/>
  <c r="C22" i="6"/>
  <c r="C23" i="6" s="1"/>
  <c r="J7" i="6"/>
  <c r="B19" i="6"/>
  <c r="B18" i="6"/>
  <c r="AG20" i="11"/>
  <c r="I9" i="11" s="1"/>
  <c r="AF20" i="11"/>
  <c r="I8" i="11" s="1"/>
  <c r="AE20" i="11"/>
  <c r="I7" i="11" s="1"/>
  <c r="AD20" i="11"/>
  <c r="I6" i="11" s="1"/>
  <c r="I125" i="11"/>
  <c r="J125" i="11"/>
  <c r="K125" i="11"/>
  <c r="L125" i="11"/>
  <c r="M125" i="11"/>
  <c r="N125" i="11"/>
  <c r="N124" i="11"/>
  <c r="L124" i="11"/>
  <c r="M124" i="11"/>
  <c r="K124" i="11"/>
  <c r="J124" i="11"/>
  <c r="I124" i="11"/>
  <c r="N118" i="11"/>
  <c r="L118" i="11"/>
  <c r="M118" i="11"/>
  <c r="K118" i="11"/>
  <c r="J118" i="11"/>
  <c r="I118" i="11"/>
  <c r="N116" i="11"/>
  <c r="L116" i="11"/>
  <c r="M116" i="11"/>
  <c r="K116" i="11"/>
  <c r="J116" i="11"/>
  <c r="I116" i="11"/>
  <c r="N115" i="11"/>
  <c r="L115" i="11"/>
  <c r="M115" i="11"/>
  <c r="K115" i="11"/>
  <c r="J115" i="11"/>
  <c r="I115" i="11"/>
  <c r="N114" i="11"/>
  <c r="L114" i="11"/>
  <c r="M114" i="11"/>
  <c r="K114" i="11"/>
  <c r="J114" i="11"/>
  <c r="I114" i="11"/>
  <c r="N113" i="11"/>
  <c r="L113" i="11"/>
  <c r="M113" i="11"/>
  <c r="K113" i="11"/>
  <c r="J113" i="11"/>
  <c r="I113" i="11"/>
  <c r="N112" i="11"/>
  <c r="L112" i="11"/>
  <c r="M112" i="11"/>
  <c r="K112" i="11"/>
  <c r="J112" i="11"/>
  <c r="I112" i="11"/>
  <c r="N111" i="11"/>
  <c r="L111" i="11"/>
  <c r="M111" i="11"/>
  <c r="K111" i="11"/>
  <c r="J111" i="11"/>
  <c r="I111" i="11"/>
  <c r="N110" i="11"/>
  <c r="L110" i="11"/>
  <c r="M110" i="11"/>
  <c r="K110" i="11"/>
  <c r="J110" i="11"/>
  <c r="I110" i="11"/>
  <c r="N109" i="11"/>
  <c r="L109" i="11"/>
  <c r="M109" i="11"/>
  <c r="K109" i="11"/>
  <c r="J109" i="11"/>
  <c r="I109" i="11"/>
  <c r="N108" i="11"/>
  <c r="L108" i="11"/>
  <c r="M108" i="11"/>
  <c r="K108" i="11"/>
  <c r="J108" i="11"/>
  <c r="I108" i="11"/>
  <c r="A4" i="18"/>
  <c r="A73" i="5"/>
  <c r="C83" i="5" s="1"/>
  <c r="T73" i="5" s="1"/>
  <c r="B10" i="5"/>
  <c r="T29" i="5" s="1"/>
  <c r="T46" i="5"/>
  <c r="T47" i="5"/>
  <c r="A46" i="5"/>
  <c r="O56" i="5" s="1"/>
  <c r="U18" i="11"/>
  <c r="I14" i="18" s="1"/>
  <c r="AF13" i="11"/>
  <c r="U9" i="11" s="1"/>
  <c r="C28" i="18" s="1"/>
  <c r="C33" i="21" s="1"/>
  <c r="AF12" i="11"/>
  <c r="W8" i="11" s="1"/>
  <c r="AG13" i="11"/>
  <c r="AF9" i="11" s="1"/>
  <c r="C29" i="18"/>
  <c r="C34" i="21" s="1"/>
  <c r="AG12" i="11"/>
  <c r="AT35" i="11" s="1"/>
  <c r="H7" i="6"/>
  <c r="O35" i="14" s="1"/>
  <c r="C5" i="14" s="1"/>
  <c r="AT27" i="11"/>
  <c r="AT29" i="11"/>
  <c r="Z29" i="11"/>
  <c r="Z28" i="11"/>
  <c r="AG11" i="11"/>
  <c r="D9" i="11" s="1"/>
  <c r="G7" i="11"/>
  <c r="H5" i="18" s="1"/>
  <c r="AF11" i="11"/>
  <c r="D6" i="11" s="1"/>
  <c r="T8" i="14"/>
  <c r="T36" i="5"/>
  <c r="T37" i="5"/>
  <c r="A58" i="5"/>
  <c r="B63" i="5" s="1"/>
  <c r="A85" i="5"/>
  <c r="B90" i="5" s="1"/>
  <c r="C31" i="18"/>
  <c r="C37" i="21" s="1"/>
  <c r="L63" i="5"/>
  <c r="D27" i="21"/>
  <c r="D28" i="21"/>
  <c r="D29" i="21"/>
  <c r="Z30" i="11"/>
  <c r="AT28" i="11"/>
  <c r="AT30" i="11"/>
  <c r="AT26" i="11"/>
  <c r="Z31" i="11"/>
  <c r="Z27" i="11"/>
  <c r="F37" i="18"/>
  <c r="A37" i="18"/>
  <c r="W20" i="18"/>
  <c r="I14" i="11"/>
  <c r="F17" i="5"/>
  <c r="G74" i="5" s="1"/>
  <c r="F14" i="5"/>
  <c r="G47" i="5" s="1"/>
  <c r="A36" i="18"/>
  <c r="C19" i="18"/>
  <c r="Q23" i="11"/>
  <c r="E11" i="21"/>
  <c r="D37" i="11"/>
  <c r="D35" i="11"/>
  <c r="L64" i="5"/>
  <c r="L61" i="5"/>
  <c r="L60" i="5"/>
  <c r="L59" i="5"/>
  <c r="B29" i="18"/>
  <c r="B34" i="21" s="1"/>
  <c r="B28" i="18"/>
  <c r="B33" i="21" s="1"/>
  <c r="B2" i="11"/>
  <c r="C2" i="18" s="1"/>
  <c r="B30" i="18"/>
  <c r="B36" i="21" s="1"/>
  <c r="B31" i="18"/>
  <c r="B37" i="21" s="1"/>
  <c r="A22" i="14"/>
  <c r="T17" i="14"/>
  <c r="T16" i="14"/>
  <c r="M16" i="14" s="1"/>
  <c r="T15" i="14"/>
  <c r="T14" i="14"/>
  <c r="T13" i="14"/>
  <c r="T12" i="14"/>
  <c r="L12" i="14" s="1"/>
  <c r="T11" i="14"/>
  <c r="T10" i="14"/>
  <c r="T9" i="14"/>
  <c r="T7" i="14"/>
  <c r="T6" i="14"/>
  <c r="E5" i="14"/>
  <c r="B69" i="5"/>
  <c r="L126" i="11"/>
  <c r="M126" i="11"/>
  <c r="L123" i="11"/>
  <c r="M123" i="11" s="1"/>
  <c r="L44" i="11"/>
  <c r="M44" i="11"/>
  <c r="L45" i="11"/>
  <c r="M45" i="11" s="1"/>
  <c r="L46" i="11"/>
  <c r="M46" i="11"/>
  <c r="L47" i="11"/>
  <c r="M47" i="11" s="1"/>
  <c r="L48" i="11"/>
  <c r="M48" i="11"/>
  <c r="L49" i="11"/>
  <c r="M49" i="11" s="1"/>
  <c r="L50" i="11"/>
  <c r="M50" i="11"/>
  <c r="L51" i="11"/>
  <c r="M51" i="11" s="1"/>
  <c r="L52" i="11"/>
  <c r="M52" i="11"/>
  <c r="L53" i="11"/>
  <c r="M53" i="11" s="1"/>
  <c r="L54" i="11"/>
  <c r="M54" i="11"/>
  <c r="L55" i="11"/>
  <c r="M55" i="11" s="1"/>
  <c r="L56" i="11"/>
  <c r="M56" i="11"/>
  <c r="L57" i="11"/>
  <c r="L58" i="11"/>
  <c r="M58" i="11" s="1"/>
  <c r="L59" i="11"/>
  <c r="M59" i="11" s="1"/>
  <c r="L60" i="11"/>
  <c r="M60" i="11" s="1"/>
  <c r="L61" i="11"/>
  <c r="M61" i="11" s="1"/>
  <c r="L62" i="11"/>
  <c r="M62" i="11" s="1"/>
  <c r="L63" i="11"/>
  <c r="M63" i="11" s="1"/>
  <c r="L64" i="11"/>
  <c r="M64" i="11" s="1"/>
  <c r="L65" i="11"/>
  <c r="M65" i="11" s="1"/>
  <c r="L66" i="11"/>
  <c r="M66" i="11" s="1"/>
  <c r="L67" i="11"/>
  <c r="M67" i="11" s="1"/>
  <c r="L68" i="11"/>
  <c r="M68" i="11" s="1"/>
  <c r="L69" i="11"/>
  <c r="M69" i="11" s="1"/>
  <c r="L70" i="11"/>
  <c r="M70" i="11" s="1"/>
  <c r="L71" i="11"/>
  <c r="M71" i="11" s="1"/>
  <c r="L72" i="11"/>
  <c r="M72" i="11" s="1"/>
  <c r="L73" i="11"/>
  <c r="M73" i="11" s="1"/>
  <c r="L74" i="11"/>
  <c r="M74" i="11" s="1"/>
  <c r="L75" i="11"/>
  <c r="M75" i="11" s="1"/>
  <c r="L76" i="11"/>
  <c r="M76" i="11" s="1"/>
  <c r="L77" i="11"/>
  <c r="M77" i="11" s="1"/>
  <c r="L78" i="11"/>
  <c r="M78" i="11" s="1"/>
  <c r="L79" i="11"/>
  <c r="M79" i="11" s="1"/>
  <c r="L80" i="11"/>
  <c r="M80" i="11" s="1"/>
  <c r="L81" i="11"/>
  <c r="M81" i="11" s="1"/>
  <c r="L82" i="11"/>
  <c r="M82" i="11" s="1"/>
  <c r="L83" i="11"/>
  <c r="M83" i="11" s="1"/>
  <c r="L84" i="11"/>
  <c r="M84" i="11" s="1"/>
  <c r="L85" i="11"/>
  <c r="M85" i="11" s="1"/>
  <c r="L86" i="11"/>
  <c r="M86" i="11" s="1"/>
  <c r="L87" i="11"/>
  <c r="M87" i="11" s="1"/>
  <c r="L88" i="11"/>
  <c r="M88" i="11" s="1"/>
  <c r="L89" i="11"/>
  <c r="M89" i="11" s="1"/>
  <c r="L90" i="11"/>
  <c r="M90" i="11" s="1"/>
  <c r="L91" i="11"/>
  <c r="M91" i="11" s="1"/>
  <c r="L92" i="11"/>
  <c r="M92" i="11" s="1"/>
  <c r="L93" i="11"/>
  <c r="M93" i="11" s="1"/>
  <c r="L94" i="11"/>
  <c r="M94" i="11" s="1"/>
  <c r="L95" i="11"/>
  <c r="M95" i="11" s="1"/>
  <c r="L96" i="11"/>
  <c r="M96" i="11" s="1"/>
  <c r="L97" i="11"/>
  <c r="M97" i="11" s="1"/>
  <c r="L98" i="11"/>
  <c r="M98" i="11" s="1"/>
  <c r="L99" i="11"/>
  <c r="M99" i="11" s="1"/>
  <c r="L100" i="11"/>
  <c r="M100" i="11" s="1"/>
  <c r="L101" i="11"/>
  <c r="M101" i="11" s="1"/>
  <c r="L102" i="11"/>
  <c r="M102" i="11" s="1"/>
  <c r="L103" i="11"/>
  <c r="M103" i="11" s="1"/>
  <c r="L104" i="11"/>
  <c r="M104" i="11" s="1"/>
  <c r="L105" i="11"/>
  <c r="M105" i="11" s="1"/>
  <c r="L106" i="11"/>
  <c r="M106" i="11" s="1"/>
  <c r="L107" i="11"/>
  <c r="M107" i="11" s="1"/>
  <c r="L117" i="11"/>
  <c r="M117" i="11" s="1"/>
  <c r="N126" i="11"/>
  <c r="N123" i="11"/>
  <c r="B22" i="6"/>
  <c r="D28" i="6"/>
  <c r="C28" i="6"/>
  <c r="V18" i="11"/>
  <c r="C11" i="18" s="1"/>
  <c r="T18" i="11"/>
  <c r="F14" i="18" s="1"/>
  <c r="F15" i="18" s="1"/>
  <c r="C16" i="21" s="1"/>
  <c r="C39" i="6"/>
  <c r="C38" i="6"/>
  <c r="C14" i="21"/>
  <c r="D1" i="18"/>
  <c r="B1" i="14"/>
  <c r="D1" i="11"/>
  <c r="B1" i="5"/>
  <c r="X34" i="14"/>
  <c r="C17" i="21"/>
  <c r="C15" i="21"/>
  <c r="C44" i="6"/>
  <c r="C32" i="6"/>
  <c r="C33" i="6"/>
  <c r="C34" i="6"/>
  <c r="C35" i="6"/>
  <c r="C36" i="6"/>
  <c r="C37" i="6"/>
  <c r="C40" i="6"/>
  <c r="C41" i="6"/>
  <c r="C42" i="6"/>
  <c r="C43" i="6"/>
  <c r="C7" i="11"/>
  <c r="D5" i="18" s="1"/>
  <c r="D7" i="11"/>
  <c r="E5" i="18" s="1"/>
  <c r="C7" i="21"/>
  <c r="E7" i="11"/>
  <c r="F5" i="18" s="1"/>
  <c r="F7" i="11"/>
  <c r="G5" i="18" s="1"/>
  <c r="I44" i="11"/>
  <c r="J44" i="11"/>
  <c r="K44" i="11"/>
  <c r="N44" i="11"/>
  <c r="I45" i="11"/>
  <c r="J45" i="11"/>
  <c r="K45" i="11"/>
  <c r="N45" i="11"/>
  <c r="I46" i="11"/>
  <c r="J46" i="11"/>
  <c r="K46" i="11"/>
  <c r="N46" i="11"/>
  <c r="I47" i="11"/>
  <c r="J47" i="11"/>
  <c r="K47" i="11"/>
  <c r="N47" i="11"/>
  <c r="I48" i="11"/>
  <c r="J48" i="11"/>
  <c r="K48" i="11"/>
  <c r="N48" i="11"/>
  <c r="I49" i="11"/>
  <c r="J49" i="11"/>
  <c r="K49" i="11"/>
  <c r="N49" i="11"/>
  <c r="I50" i="11"/>
  <c r="J50" i="11"/>
  <c r="K50" i="11"/>
  <c r="N50" i="11"/>
  <c r="I51" i="11"/>
  <c r="J51" i="11"/>
  <c r="K51" i="11"/>
  <c r="N51" i="11"/>
  <c r="I52" i="11"/>
  <c r="J52" i="11"/>
  <c r="K52" i="11"/>
  <c r="N52" i="11"/>
  <c r="I53" i="11"/>
  <c r="J53" i="11"/>
  <c r="K53" i="11"/>
  <c r="N53" i="11"/>
  <c r="I54" i="11"/>
  <c r="J54" i="11"/>
  <c r="K54" i="11"/>
  <c r="N54" i="11"/>
  <c r="I55" i="11"/>
  <c r="J55" i="11"/>
  <c r="K55" i="11"/>
  <c r="N55" i="11"/>
  <c r="I56" i="11"/>
  <c r="J56" i="11"/>
  <c r="K56" i="11"/>
  <c r="N56" i="11"/>
  <c r="I57" i="11"/>
  <c r="J57" i="11"/>
  <c r="K57" i="11"/>
  <c r="M57" i="11"/>
  <c r="N57" i="11"/>
  <c r="I58" i="11"/>
  <c r="J58" i="11"/>
  <c r="K58" i="11"/>
  <c r="N58" i="11"/>
  <c r="I59" i="11"/>
  <c r="J59" i="11"/>
  <c r="K59" i="11"/>
  <c r="N59" i="11"/>
  <c r="I60" i="11"/>
  <c r="J60" i="11"/>
  <c r="K60" i="11"/>
  <c r="N60" i="11"/>
  <c r="I61" i="11"/>
  <c r="J61" i="11"/>
  <c r="K61" i="11"/>
  <c r="N61" i="11"/>
  <c r="I62" i="11"/>
  <c r="J62" i="11"/>
  <c r="K62" i="11"/>
  <c r="N62" i="11"/>
  <c r="I63" i="11"/>
  <c r="J63" i="11"/>
  <c r="K63" i="11"/>
  <c r="N63" i="11"/>
  <c r="I64" i="11"/>
  <c r="J64" i="11"/>
  <c r="K64" i="11"/>
  <c r="N64" i="11"/>
  <c r="I65" i="11"/>
  <c r="J65" i="11"/>
  <c r="K65" i="11"/>
  <c r="N65" i="11"/>
  <c r="I66" i="11"/>
  <c r="J66" i="11"/>
  <c r="K66" i="11"/>
  <c r="N66" i="11"/>
  <c r="I67" i="11"/>
  <c r="J67" i="11"/>
  <c r="K67" i="11"/>
  <c r="N67" i="11"/>
  <c r="I68" i="11"/>
  <c r="J68" i="11"/>
  <c r="K68" i="11"/>
  <c r="N68" i="11"/>
  <c r="I69" i="11"/>
  <c r="J69" i="11"/>
  <c r="K69" i="11"/>
  <c r="N69" i="11"/>
  <c r="I70" i="11"/>
  <c r="J70" i="11"/>
  <c r="K70" i="11"/>
  <c r="N70" i="11"/>
  <c r="I71" i="11"/>
  <c r="J71" i="11"/>
  <c r="K71" i="11"/>
  <c r="N71" i="11"/>
  <c r="I72" i="11"/>
  <c r="J72" i="11"/>
  <c r="K72" i="11"/>
  <c r="N72" i="11"/>
  <c r="I73" i="11"/>
  <c r="J73" i="11"/>
  <c r="K73" i="11"/>
  <c r="N73" i="11"/>
  <c r="I74" i="11"/>
  <c r="J74" i="11"/>
  <c r="K74" i="11"/>
  <c r="N74" i="11"/>
  <c r="I75" i="11"/>
  <c r="J75" i="11"/>
  <c r="K75" i="11"/>
  <c r="N75" i="11"/>
  <c r="I76" i="11"/>
  <c r="J76" i="11"/>
  <c r="K76" i="11"/>
  <c r="N76" i="11"/>
  <c r="I77" i="11"/>
  <c r="J77" i="11"/>
  <c r="K77" i="11"/>
  <c r="N77" i="11"/>
  <c r="I78" i="11"/>
  <c r="J78" i="11"/>
  <c r="K78" i="11"/>
  <c r="N78" i="11"/>
  <c r="I79" i="11"/>
  <c r="J79" i="11"/>
  <c r="K79" i="11"/>
  <c r="N79" i="11"/>
  <c r="I80" i="11"/>
  <c r="J80" i="11"/>
  <c r="K80" i="11"/>
  <c r="N80" i="11"/>
  <c r="I81" i="11"/>
  <c r="J81" i="11"/>
  <c r="K81" i="11"/>
  <c r="N81" i="11"/>
  <c r="I82" i="11"/>
  <c r="J82" i="11"/>
  <c r="K82" i="11"/>
  <c r="N82" i="11"/>
  <c r="I83" i="11"/>
  <c r="J83" i="11"/>
  <c r="K83" i="11"/>
  <c r="N83" i="11"/>
  <c r="I84" i="11"/>
  <c r="J84" i="11"/>
  <c r="K84" i="11"/>
  <c r="N84" i="11"/>
  <c r="I85" i="11"/>
  <c r="J85" i="11"/>
  <c r="K85" i="11"/>
  <c r="N85" i="11"/>
  <c r="I86" i="11"/>
  <c r="J86" i="11"/>
  <c r="K86" i="11"/>
  <c r="N86" i="11"/>
  <c r="I87" i="11"/>
  <c r="J87" i="11"/>
  <c r="K87" i="11"/>
  <c r="N87" i="11"/>
  <c r="I88" i="11"/>
  <c r="J88" i="11"/>
  <c r="K88" i="11"/>
  <c r="N88" i="11"/>
  <c r="I89" i="11"/>
  <c r="J89" i="11"/>
  <c r="K89" i="11"/>
  <c r="N89" i="11"/>
  <c r="I90" i="11"/>
  <c r="J90" i="11"/>
  <c r="K90" i="11"/>
  <c r="N90" i="11"/>
  <c r="I91" i="11"/>
  <c r="J91" i="11"/>
  <c r="K91" i="11"/>
  <c r="N91" i="11"/>
  <c r="I92" i="11"/>
  <c r="J92" i="11"/>
  <c r="K92" i="11"/>
  <c r="N92" i="11"/>
  <c r="I93" i="11"/>
  <c r="J93" i="11"/>
  <c r="K93" i="11"/>
  <c r="N93" i="11"/>
  <c r="I94" i="11"/>
  <c r="J94" i="11"/>
  <c r="K94" i="11"/>
  <c r="N94" i="11"/>
  <c r="I95" i="11"/>
  <c r="J95" i="11"/>
  <c r="K95" i="11"/>
  <c r="N95" i="11"/>
  <c r="I96" i="11"/>
  <c r="J96" i="11"/>
  <c r="K96" i="11"/>
  <c r="N96" i="11"/>
  <c r="I97" i="11"/>
  <c r="J97" i="11"/>
  <c r="K97" i="11"/>
  <c r="N97" i="11"/>
  <c r="I98" i="11"/>
  <c r="J98" i="11"/>
  <c r="K98" i="11"/>
  <c r="N98" i="11"/>
  <c r="I99" i="11"/>
  <c r="J99" i="11"/>
  <c r="K99" i="11"/>
  <c r="N99" i="11"/>
  <c r="I100" i="11"/>
  <c r="J100" i="11"/>
  <c r="K100" i="11"/>
  <c r="N100" i="11"/>
  <c r="I101" i="11"/>
  <c r="J101" i="11"/>
  <c r="K101" i="11"/>
  <c r="N101" i="11"/>
  <c r="I102" i="11"/>
  <c r="J102" i="11"/>
  <c r="K102" i="11"/>
  <c r="N102" i="11"/>
  <c r="I103" i="11"/>
  <c r="J103" i="11"/>
  <c r="K103" i="11"/>
  <c r="N103" i="11"/>
  <c r="I104" i="11"/>
  <c r="J104" i="11"/>
  <c r="K104" i="11"/>
  <c r="N104" i="11"/>
  <c r="I105" i="11"/>
  <c r="J105" i="11"/>
  <c r="K105" i="11"/>
  <c r="N105" i="11"/>
  <c r="I106" i="11"/>
  <c r="J106" i="11"/>
  <c r="K106" i="11"/>
  <c r="N106" i="11"/>
  <c r="I107" i="11"/>
  <c r="J107" i="11"/>
  <c r="K107" i="11"/>
  <c r="N107" i="11"/>
  <c r="I117" i="11"/>
  <c r="J117" i="11"/>
  <c r="K117" i="11"/>
  <c r="N117" i="11"/>
  <c r="I123" i="11"/>
  <c r="J123" i="11"/>
  <c r="K123" i="11"/>
  <c r="I126" i="11"/>
  <c r="J126" i="11"/>
  <c r="K126" i="11"/>
  <c r="C21" i="5"/>
  <c r="E21" i="5"/>
  <c r="A31" i="18"/>
  <c r="A37" i="21" s="1"/>
  <c r="A37" i="11"/>
  <c r="E37" i="11"/>
  <c r="T54" i="5"/>
  <c r="M37" i="11"/>
  <c r="AH47" i="11" s="1"/>
  <c r="Q15" i="14"/>
  <c r="K28" i="11"/>
  <c r="D30" i="21" s="1"/>
  <c r="Q83" i="5"/>
  <c r="N31" i="11"/>
  <c r="S15" i="14"/>
  <c r="T35" i="14"/>
  <c r="A19" i="14" s="1"/>
  <c r="L23" i="18"/>
  <c r="X35" i="14"/>
  <c r="AL15" i="11"/>
  <c r="M35" i="14"/>
  <c r="D16" i="21" s="1"/>
  <c r="AI8" i="11"/>
  <c r="AS35" i="11"/>
  <c r="A29" i="18"/>
  <c r="A34" i="21" s="1"/>
  <c r="AQ8" i="11"/>
  <c r="AQ12" i="11" s="1"/>
  <c r="AU35" i="11"/>
  <c r="AQ35" i="11"/>
  <c r="AG43" i="11" s="1"/>
  <c r="AY35" i="11"/>
  <c r="N33" i="11"/>
  <c r="B5" i="5"/>
  <c r="B9" i="5" s="1"/>
  <c r="U35" i="14"/>
  <c r="Y15" i="11"/>
  <c r="E10" i="11" s="1"/>
  <c r="V35" i="14"/>
  <c r="AM15" i="11"/>
  <c r="W35" i="14"/>
  <c r="V15" i="11"/>
  <c r="H27" i="11" s="1"/>
  <c r="R35" i="14"/>
  <c r="AK15" i="11"/>
  <c r="O23" i="18"/>
  <c r="D14" i="18" s="1"/>
  <c r="AP15" i="11"/>
  <c r="AR15" i="11"/>
  <c r="F56" i="5"/>
  <c r="D17" i="21"/>
  <c r="M33" i="11"/>
  <c r="AH45" i="11" s="1"/>
  <c r="R14" i="14"/>
  <c r="T48" i="5"/>
  <c r="T51" i="5" s="1"/>
  <c r="G22" i="5"/>
  <c r="F37" i="11" s="1"/>
  <c r="G23" i="5"/>
  <c r="G37" i="11" s="1"/>
  <c r="O83" i="5"/>
  <c r="G76" i="5"/>
  <c r="G78" i="5"/>
  <c r="AH8" i="11"/>
  <c r="BC35" i="11"/>
  <c r="BD35" i="11"/>
  <c r="AW35" i="11"/>
  <c r="AR35" i="11"/>
  <c r="AG44" i="11" s="1"/>
  <c r="AO35" i="11"/>
  <c r="G33" i="11"/>
  <c r="AQ9" i="11"/>
  <c r="AQ13" i="11" s="1"/>
  <c r="AV35" i="11"/>
  <c r="C10" i="21"/>
  <c r="Q16" i="14"/>
  <c r="L10" i="14"/>
  <c r="T28" i="5"/>
  <c r="C8" i="21"/>
  <c r="G75" i="5"/>
  <c r="T38" i="5"/>
  <c r="T39" i="5" s="1"/>
  <c r="D14" i="21"/>
  <c r="H26" i="11"/>
  <c r="Q35" i="14"/>
  <c r="A18" i="14" s="1"/>
  <c r="J63" i="5"/>
  <c r="P35" i="14"/>
  <c r="D5" i="14" s="1"/>
  <c r="H63" i="5"/>
  <c r="U15" i="11"/>
  <c r="Z15" i="11"/>
  <c r="F10" i="11" s="1"/>
  <c r="M23" i="18"/>
  <c r="R23" i="18"/>
  <c r="G15" i="18" s="1"/>
  <c r="N35" i="14"/>
  <c r="AC15" i="11"/>
  <c r="I18" i="11" s="1"/>
  <c r="I63" i="5"/>
  <c r="C12" i="5" s="1"/>
  <c r="AA15" i="11"/>
  <c r="B19" i="11" s="1"/>
  <c r="W15" i="11"/>
  <c r="C10" i="11" s="1"/>
  <c r="L35" i="14"/>
  <c r="X15" i="11"/>
  <c r="D10" i="11" s="1"/>
  <c r="AO15" i="11"/>
  <c r="S35" i="14"/>
  <c r="T15" i="11"/>
  <c r="AH36" i="11"/>
  <c r="AE36" i="11"/>
  <c r="X8" i="11"/>
  <c r="V36" i="11"/>
  <c r="V42" i="11" s="1"/>
  <c r="F20" i="11"/>
  <c r="V6" i="11"/>
  <c r="W6" i="11" s="1"/>
  <c r="D15" i="21"/>
  <c r="N12" i="14"/>
  <c r="K11" i="14"/>
  <c r="N14" i="14"/>
  <c r="O7" i="14"/>
  <c r="O11" i="14"/>
  <c r="O15" i="14"/>
  <c r="H7" i="11"/>
  <c r="C11" i="21" s="1"/>
  <c r="T41" i="5"/>
  <c r="F33" i="11" l="1"/>
  <c r="C20" i="11"/>
  <c r="AI36" i="11"/>
  <c r="AB7" i="11"/>
  <c r="AB11" i="11" s="1"/>
  <c r="AB15" i="11" s="1"/>
  <c r="B30" i="11" s="1"/>
  <c r="AA36" i="11"/>
  <c r="AD36" i="11"/>
  <c r="E25" i="11"/>
  <c r="U36" i="11"/>
  <c r="A28" i="18" s="1"/>
  <c r="A33" i="21" s="1"/>
  <c r="AF36" i="11"/>
  <c r="H30" i="11" s="1"/>
  <c r="F28" i="18" s="1"/>
  <c r="E33" i="21" s="1"/>
  <c r="AB9" i="11"/>
  <c r="AB13" i="11" s="1"/>
  <c r="AB8" i="11"/>
  <c r="AB12" i="11" s="1"/>
  <c r="D22" i="11"/>
  <c r="G31" i="11"/>
  <c r="M18" i="11"/>
  <c r="AB36" i="11"/>
  <c r="AC36" i="11"/>
  <c r="C27" i="11"/>
  <c r="Y36" i="11"/>
  <c r="F31" i="11"/>
  <c r="AJ36" i="11"/>
  <c r="AB10" i="11"/>
  <c r="AB14" i="11" s="1"/>
  <c r="W36" i="11"/>
  <c r="V43" i="11" s="1"/>
  <c r="X36" i="11"/>
  <c r="V44" i="11" s="1"/>
  <c r="R17" i="14"/>
  <c r="Q13" i="14"/>
  <c r="R13" i="14"/>
  <c r="G77" i="5"/>
  <c r="G83" i="5"/>
  <c r="K83" i="5"/>
  <c r="R83" i="5"/>
  <c r="A21" i="5"/>
  <c r="H83" i="5"/>
  <c r="J83" i="5"/>
  <c r="E83" i="5"/>
  <c r="T75" i="5" s="1"/>
  <c r="D83" i="5"/>
  <c r="T74" i="5" s="1"/>
  <c r="F83" i="5"/>
  <c r="I83" i="5"/>
  <c r="B83" i="5"/>
  <c r="P83" i="5"/>
  <c r="L83" i="5"/>
  <c r="J36" i="11" s="1"/>
  <c r="I31" i="18" s="1"/>
  <c r="E37" i="21" s="1"/>
  <c r="G49" i="5"/>
  <c r="G51" i="5"/>
  <c r="F22" i="5"/>
  <c r="F35" i="11" s="1"/>
  <c r="T50" i="5"/>
  <c r="C9" i="21"/>
  <c r="B24" i="6"/>
  <c r="B23" i="6" s="1"/>
  <c r="H25" i="11"/>
  <c r="BB35" i="11"/>
  <c r="AZ35" i="11"/>
  <c r="H32" i="11" s="1"/>
  <c r="F29" i="18" s="1"/>
  <c r="E34" i="21" s="1"/>
  <c r="AQ7" i="11"/>
  <c r="AQ11" i="11" s="1"/>
  <c r="AQ10" i="11"/>
  <c r="AQ14" i="11" s="1"/>
  <c r="AP35" i="11"/>
  <c r="AG42" i="11" s="1"/>
  <c r="AG45" i="11" s="1"/>
  <c r="AG48" i="11" s="1"/>
  <c r="Z36" i="11"/>
  <c r="S17" i="14"/>
  <c r="S16" i="14"/>
  <c r="Q14" i="14"/>
  <c r="S12" i="14"/>
  <c r="Q12" i="14"/>
  <c r="I11" i="14"/>
  <c r="P11" i="14" s="1"/>
  <c r="Q11" i="14"/>
  <c r="S11" i="14"/>
  <c r="R10" i="14"/>
  <c r="R6" i="14"/>
  <c r="Q6" i="14"/>
  <c r="M11" i="14"/>
  <c r="C87" i="5"/>
  <c r="G48" i="5"/>
  <c r="G50" i="5"/>
  <c r="C20" i="5"/>
  <c r="H56" i="5"/>
  <c r="A20" i="6"/>
  <c r="K18" i="11"/>
  <c r="N6" i="14"/>
  <c r="K15" i="14"/>
  <c r="I15" i="14" s="1"/>
  <c r="P15" i="14" s="1"/>
  <c r="O6" i="14"/>
  <c r="N13" i="14"/>
  <c r="L16" i="14"/>
  <c r="N7" i="14"/>
  <c r="M8" i="14"/>
  <c r="M14" i="14"/>
  <c r="H7" i="14"/>
  <c r="M9" i="14"/>
  <c r="D18" i="21"/>
  <c r="K9" i="14"/>
  <c r="M17" i="14"/>
  <c r="O13" i="14"/>
  <c r="L17" i="14"/>
  <c r="N11" i="14"/>
  <c r="M15" i="14"/>
  <c r="M10" i="14"/>
  <c r="O16" i="14"/>
  <c r="K14" i="14"/>
  <c r="I14" i="14" s="1"/>
  <c r="P14" i="14" s="1"/>
  <c r="K10" i="14"/>
  <c r="C18" i="14"/>
  <c r="F11" i="14" s="1"/>
  <c r="K12" i="14"/>
  <c r="I12" i="14" s="1"/>
  <c r="P12" i="14" s="1"/>
  <c r="N10" i="14"/>
  <c r="O14" i="14"/>
  <c r="O17" i="14"/>
  <c r="N9" i="14"/>
  <c r="M13" i="14"/>
  <c r="K16" i="14"/>
  <c r="I16" i="14" s="1"/>
  <c r="P16" i="14" s="1"/>
  <c r="O8" i="14"/>
  <c r="G21" i="11"/>
  <c r="C21" i="11"/>
  <c r="M12" i="14"/>
  <c r="AN15" i="11"/>
  <c r="AJ15" i="11"/>
  <c r="Q23" i="18"/>
  <c r="D15" i="18" s="1"/>
  <c r="N23" i="18"/>
  <c r="A11" i="18" s="1"/>
  <c r="AQ15" i="11"/>
  <c r="B32" i="11" s="1"/>
  <c r="AI15" i="11"/>
  <c r="P23" i="18"/>
  <c r="G14" i="18" s="1"/>
  <c r="K23" i="11"/>
  <c r="G21" i="18" s="1"/>
  <c r="K20" i="11"/>
  <c r="D22" i="21" s="1"/>
  <c r="K24" i="11"/>
  <c r="D26" i="21" s="1"/>
  <c r="K21" i="11"/>
  <c r="G19" i="18" s="1"/>
  <c r="G26" i="18"/>
  <c r="E35" i="11"/>
  <c r="C30" i="18"/>
  <c r="C36" i="21" s="1"/>
  <c r="N16" i="14"/>
  <c r="L14" i="14"/>
  <c r="N8" i="14"/>
  <c r="N15" i="14"/>
  <c r="O9" i="14"/>
  <c r="K17" i="14"/>
  <c r="I17" i="14" s="1"/>
  <c r="P17" i="14" s="1"/>
  <c r="O12" i="14"/>
  <c r="N17" i="14"/>
  <c r="L15" i="14"/>
  <c r="O10" i="14"/>
  <c r="I10" i="14" s="1"/>
  <c r="G24" i="11"/>
  <c r="H15" i="14"/>
  <c r="L7" i="14"/>
  <c r="K13" i="14"/>
  <c r="I13" i="14" s="1"/>
  <c r="P13" i="14" s="1"/>
  <c r="L11" i="14"/>
  <c r="AG6" i="11"/>
  <c r="F22" i="11"/>
  <c r="G23" i="11"/>
  <c r="L62" i="5"/>
  <c r="D11" i="11"/>
  <c r="D12" i="11" s="1"/>
  <c r="G56" i="5"/>
  <c r="T40" i="5"/>
  <c r="H13" i="14"/>
  <c r="K6" i="14"/>
  <c r="I6" i="14" s="1"/>
  <c r="P6" i="14" s="1"/>
  <c r="L8" i="14"/>
  <c r="L13" i="14"/>
  <c r="T49" i="5"/>
  <c r="M6" i="14"/>
  <c r="K8" i="14"/>
  <c r="AX35" i="11"/>
  <c r="K7" i="14"/>
  <c r="L9" i="14"/>
  <c r="T30" i="5"/>
  <c r="T31" i="5" s="1"/>
  <c r="I23" i="11"/>
  <c r="D21" i="18" s="1"/>
  <c r="I20" i="11"/>
  <c r="C22" i="21" s="1"/>
  <c r="L6" i="14"/>
  <c r="K22" i="11"/>
  <c r="D24" i="21" s="1"/>
  <c r="I33" i="11"/>
  <c r="E29" i="18" s="1"/>
  <c r="D34" i="21" s="1"/>
  <c r="AJ45" i="11"/>
  <c r="H9" i="14"/>
  <c r="H10" i="14"/>
  <c r="H12" i="14"/>
  <c r="H11" i="14"/>
  <c r="H8" i="14"/>
  <c r="H6" i="14"/>
  <c r="H17" i="14"/>
  <c r="H14" i="14"/>
  <c r="H16" i="14"/>
  <c r="M7" i="14"/>
  <c r="X6" i="11"/>
  <c r="AM45" i="11"/>
  <c r="D23" i="11"/>
  <c r="E24" i="11"/>
  <c r="AK45" i="11"/>
  <c r="AI45" i="11"/>
  <c r="C26" i="11"/>
  <c r="AL45" i="11"/>
  <c r="I5" i="18"/>
  <c r="C18" i="6"/>
  <c r="V9" i="11"/>
  <c r="O28" i="14" s="1"/>
  <c r="C6" i="21"/>
  <c r="F23" i="5"/>
  <c r="G35" i="11" s="1"/>
  <c r="A20" i="5"/>
  <c r="B23" i="5"/>
  <c r="J56" i="5"/>
  <c r="B56" i="5"/>
  <c r="C56" i="5"/>
  <c r="T59" i="5" s="1"/>
  <c r="Q56" i="5"/>
  <c r="I56" i="5"/>
  <c r="K56" i="5"/>
  <c r="D56" i="5"/>
  <c r="T60" i="5" s="1"/>
  <c r="L56" i="5"/>
  <c r="J34" i="11" s="1"/>
  <c r="I30" i="18" s="1"/>
  <c r="E36" i="21" s="1"/>
  <c r="B22" i="5"/>
  <c r="E20" i="5"/>
  <c r="E56" i="5"/>
  <c r="T61" i="5" s="1"/>
  <c r="R56" i="5"/>
  <c r="P56" i="5"/>
  <c r="AI47" i="11"/>
  <c r="AJ47" i="11"/>
  <c r="AL47" i="11"/>
  <c r="AM47" i="11"/>
  <c r="N37" i="11"/>
  <c r="AK47" i="11"/>
  <c r="I15" i="18"/>
  <c r="C18" i="21" s="1"/>
  <c r="K24" i="14"/>
  <c r="AI56" i="11" s="1"/>
  <c r="F28" i="11"/>
  <c r="E28" i="11"/>
  <c r="I31" i="11"/>
  <c r="E28" i="18" s="1"/>
  <c r="D33" i="21" s="1"/>
  <c r="I22" i="11"/>
  <c r="AA43" i="11" s="1"/>
  <c r="I21" i="11"/>
  <c r="Z46" i="11" s="1"/>
  <c r="I24" i="11"/>
  <c r="C26" i="21" s="1"/>
  <c r="X18" i="11"/>
  <c r="I27" i="11"/>
  <c r="AA48" i="11" s="1"/>
  <c r="I25" i="11"/>
  <c r="X47" i="11" s="1"/>
  <c r="I28" i="11"/>
  <c r="C30" i="21" s="1"/>
  <c r="I26" i="11"/>
  <c r="Z47" i="11" s="1"/>
  <c r="I21" i="14"/>
  <c r="W18" i="11" s="1"/>
  <c r="A24" i="14"/>
  <c r="A3" i="21"/>
  <c r="C6" i="11"/>
  <c r="F6" i="11"/>
  <c r="H6" i="11"/>
  <c r="E6" i="11"/>
  <c r="G6" i="11"/>
  <c r="F9" i="11"/>
  <c r="F11" i="11" s="1"/>
  <c r="G9" i="11"/>
  <c r="G11" i="11" s="1"/>
  <c r="H9" i="11"/>
  <c r="H11" i="11" s="1"/>
  <c r="C9" i="11"/>
  <c r="C11" i="11" s="1"/>
  <c r="E9" i="11"/>
  <c r="E11" i="11" s="1"/>
  <c r="V45" i="11" l="1"/>
  <c r="V46" i="11" s="1"/>
  <c r="T32" i="5"/>
  <c r="T33" i="5"/>
  <c r="T43" i="5" s="1"/>
  <c r="T53" i="5" s="1"/>
  <c r="I8" i="14"/>
  <c r="R8" i="14" s="1"/>
  <c r="T76" i="5"/>
  <c r="T78" i="5" s="1"/>
  <c r="F14" i="14"/>
  <c r="F6" i="14"/>
  <c r="F12" i="14"/>
  <c r="F16" i="14"/>
  <c r="F15" i="14"/>
  <c r="F9" i="14"/>
  <c r="C19" i="14"/>
  <c r="J25" i="14" s="1"/>
  <c r="F17" i="14"/>
  <c r="F10" i="14"/>
  <c r="I9" i="14"/>
  <c r="Q9" i="14" s="1"/>
  <c r="T62" i="5"/>
  <c r="T66" i="5" s="1"/>
  <c r="F8" i="14"/>
  <c r="F13" i="14"/>
  <c r="F7" i="14"/>
  <c r="AG49" i="11"/>
  <c r="I7" i="14"/>
  <c r="R7" i="14" s="1"/>
  <c r="P8" i="14"/>
  <c r="H22" i="18"/>
  <c r="D25" i="21"/>
  <c r="X49" i="11"/>
  <c r="AA42" i="11"/>
  <c r="AB45" i="11" s="1"/>
  <c r="F13" i="11" s="1"/>
  <c r="P10" i="14"/>
  <c r="S10" i="14"/>
  <c r="D23" i="21"/>
  <c r="G18" i="18"/>
  <c r="W42" i="11"/>
  <c r="Z42" i="11"/>
  <c r="D18" i="18"/>
  <c r="X42" i="11"/>
  <c r="C25" i="21"/>
  <c r="Z49" i="11"/>
  <c r="AI6" i="11"/>
  <c r="AH6" i="11"/>
  <c r="AA49" i="11"/>
  <c r="W49" i="11"/>
  <c r="G20" i="18"/>
  <c r="W43" i="11"/>
  <c r="I18" i="14"/>
  <c r="F19" i="14" s="1"/>
  <c r="F18" i="14" s="1"/>
  <c r="D26" i="18"/>
  <c r="S8" i="14"/>
  <c r="AG47" i="11"/>
  <c r="AG46" i="11"/>
  <c r="B24" i="14"/>
  <c r="A35" i="11"/>
  <c r="A30" i="18"/>
  <c r="A36" i="21" s="1"/>
  <c r="B19" i="5"/>
  <c r="C60" i="5"/>
  <c r="W44" i="11"/>
  <c r="AA44" i="11"/>
  <c r="D19" i="18"/>
  <c r="X44" i="11"/>
  <c r="Z44" i="11"/>
  <c r="AA47" i="11"/>
  <c r="W48" i="11"/>
  <c r="W46" i="11"/>
  <c r="C28" i="21"/>
  <c r="E22" i="18"/>
  <c r="C27" i="21"/>
  <c r="D23" i="18"/>
  <c r="Z45" i="11"/>
  <c r="W47" i="11"/>
  <c r="X46" i="11"/>
  <c r="C23" i="21"/>
  <c r="X48" i="11"/>
  <c r="AA46" i="11"/>
  <c r="D24" i="18"/>
  <c r="D25" i="18"/>
  <c r="Z48" i="11"/>
  <c r="W45" i="11"/>
  <c r="X45" i="11"/>
  <c r="C29" i="21"/>
  <c r="Z43" i="11"/>
  <c r="D20" i="18"/>
  <c r="X43" i="11"/>
  <c r="C24" i="21"/>
  <c r="F12" i="11"/>
  <c r="H12" i="11"/>
  <c r="E12" i="11"/>
  <c r="G12" i="11"/>
  <c r="C12" i="11"/>
  <c r="V49" i="11" l="1"/>
  <c r="V48" i="11"/>
  <c r="V47" i="11"/>
  <c r="T79" i="5"/>
  <c r="T77" i="5"/>
  <c r="T80" i="5"/>
  <c r="T81" i="5" s="1"/>
  <c r="T83" i="5" s="1"/>
  <c r="Q8" i="14"/>
  <c r="AG50" i="11"/>
  <c r="AG7" i="11" s="1"/>
  <c r="R9" i="14"/>
  <c r="R18" i="14" s="1"/>
  <c r="S9" i="14"/>
  <c r="S18" i="14" s="1"/>
  <c r="P9" i="14"/>
  <c r="T63" i="5"/>
  <c r="T64" i="5"/>
  <c r="T65" i="5"/>
  <c r="P7" i="14"/>
  <c r="Q7" i="14"/>
  <c r="Q18" i="14" s="1"/>
  <c r="AB42" i="11"/>
  <c r="C14" i="11" s="1"/>
  <c r="Y45" i="11"/>
  <c r="Y43" i="11"/>
  <c r="AB43" i="11"/>
  <c r="D14" i="11" s="1"/>
  <c r="AB44" i="11"/>
  <c r="E14" i="11" s="1"/>
  <c r="F6" i="18" s="1"/>
  <c r="AG8" i="11"/>
  <c r="Y44" i="11"/>
  <c r="Y46" i="11"/>
  <c r="AB46" i="11"/>
  <c r="G13" i="11" s="1"/>
  <c r="Y42" i="11"/>
  <c r="Y47" i="11"/>
  <c r="F15" i="11"/>
  <c r="G7" i="18" s="1"/>
  <c r="F14" i="11"/>
  <c r="G6" i="18" s="1"/>
  <c r="V50" i="11" l="1"/>
  <c r="V5" i="11" s="1"/>
  <c r="AG31" i="11" s="1"/>
  <c r="AG5" i="11"/>
  <c r="AH5" i="11" s="1"/>
  <c r="P18" i="14"/>
  <c r="I25" i="14" s="1"/>
  <c r="T67" i="5"/>
  <c r="C61" i="5" s="1"/>
  <c r="C13" i="11"/>
  <c r="C15" i="11"/>
  <c r="D7" i="18" s="1"/>
  <c r="D15" i="11"/>
  <c r="E7" i="18" s="1"/>
  <c r="D13" i="11"/>
  <c r="V7" i="11"/>
  <c r="W7" i="11" s="1"/>
  <c r="E13" i="11"/>
  <c r="E15" i="11"/>
  <c r="E8" i="21" s="1"/>
  <c r="AI7" i="11"/>
  <c r="AH7" i="11"/>
  <c r="BA27" i="11"/>
  <c r="BA28" i="11"/>
  <c r="BA31" i="11"/>
  <c r="BA30" i="11"/>
  <c r="BA26" i="11"/>
  <c r="BA29" i="11"/>
  <c r="BA35" i="11" s="1"/>
  <c r="H33" i="11"/>
  <c r="BA32" i="11"/>
  <c r="BA34" i="11"/>
  <c r="C88" i="5"/>
  <c r="O84" i="5"/>
  <c r="C86" i="5" s="1"/>
  <c r="B25" i="5"/>
  <c r="D25" i="5" s="1"/>
  <c r="A25" i="5"/>
  <c r="E87" i="5"/>
  <c r="M80" i="5"/>
  <c r="M81" i="5"/>
  <c r="E88" i="5"/>
  <c r="D87" i="5"/>
  <c r="E86" i="5"/>
  <c r="M79" i="5"/>
  <c r="D86" i="5"/>
  <c r="D88" i="5"/>
  <c r="E9" i="21"/>
  <c r="D8" i="21"/>
  <c r="G15" i="11"/>
  <c r="N15" i="11" s="1"/>
  <c r="I12" i="18" s="1"/>
  <c r="G14" i="11"/>
  <c r="H6" i="18" s="1"/>
  <c r="F11" i="18"/>
  <c r="E6" i="18"/>
  <c r="D7" i="21"/>
  <c r="D9" i="21"/>
  <c r="D6" i="21"/>
  <c r="D6" i="18"/>
  <c r="X5" i="11" l="1"/>
  <c r="AG35" i="11"/>
  <c r="H31" i="11"/>
  <c r="AG34" i="11"/>
  <c r="W5" i="11"/>
  <c r="AG28" i="11"/>
  <c r="AG30" i="11"/>
  <c r="AG36" i="11" s="1"/>
  <c r="AG29" i="11"/>
  <c r="AG27" i="11"/>
  <c r="AG33" i="11"/>
  <c r="AG32" i="11"/>
  <c r="V8" i="11"/>
  <c r="BA33" i="11"/>
  <c r="AI5" i="11"/>
  <c r="T69" i="5"/>
  <c r="M52" i="5" s="1"/>
  <c r="E6" i="21"/>
  <c r="E7" i="21"/>
  <c r="X7" i="11"/>
  <c r="H38" i="11"/>
  <c r="M31" i="11"/>
  <c r="F7" i="18"/>
  <c r="M78" i="5"/>
  <c r="M75" i="5"/>
  <c r="M77" i="5"/>
  <c r="M76" i="5"/>
  <c r="M82" i="5"/>
  <c r="M74" i="5"/>
  <c r="E10" i="21"/>
  <c r="E12" i="21"/>
  <c r="H7" i="18"/>
  <c r="J12" i="18" s="1"/>
  <c r="K15" i="11"/>
  <c r="D10" i="21"/>
  <c r="E61" i="5" l="1"/>
  <c r="B24" i="5"/>
  <c r="M35" i="11" s="1"/>
  <c r="N35" i="11" s="1"/>
  <c r="D61" i="5"/>
  <c r="D59" i="5"/>
  <c r="E59" i="5"/>
  <c r="O57" i="5"/>
  <c r="C59" i="5" s="1"/>
  <c r="M47" i="5" s="1"/>
  <c r="M53" i="5"/>
  <c r="M54" i="5"/>
  <c r="D60" i="5"/>
  <c r="A24" i="5"/>
  <c r="E60" i="5"/>
  <c r="AJ44" i="11"/>
  <c r="AL44" i="11"/>
  <c r="AH44" i="11"/>
  <c r="AM44" i="11"/>
  <c r="AK44" i="11"/>
  <c r="AI44" i="11"/>
  <c r="B21" i="5"/>
  <c r="M83" i="5"/>
  <c r="AM46" i="11" l="1"/>
  <c r="AM48" i="11" s="1"/>
  <c r="AI46" i="11"/>
  <c r="M30" i="11"/>
  <c r="AL46" i="11"/>
  <c r="AL48" i="11" s="1"/>
  <c r="AJ46" i="11"/>
  <c r="AJ48" i="11" s="1"/>
  <c r="D24" i="5"/>
  <c r="AH46" i="11"/>
  <c r="AH48" i="11" s="1"/>
  <c r="AK46" i="11"/>
  <c r="AK48" i="11" s="1"/>
  <c r="M51" i="5"/>
  <c r="M49" i="5"/>
  <c r="M50" i="5"/>
  <c r="M48" i="5"/>
  <c r="M55" i="5"/>
  <c r="AI48" i="11"/>
  <c r="N82" i="5"/>
  <c r="N81" i="5"/>
  <c r="K37" i="11"/>
  <c r="N80" i="5"/>
  <c r="N75" i="5"/>
  <c r="N76" i="5"/>
  <c r="N78" i="5"/>
  <c r="N74" i="5"/>
  <c r="N79" i="5"/>
  <c r="N77" i="5"/>
  <c r="H31" i="18"/>
  <c r="D37" i="21" s="1"/>
  <c r="B20" i="5" l="1"/>
  <c r="M56" i="5"/>
  <c r="AH51" i="11"/>
  <c r="A32" i="18" s="1"/>
  <c r="AH54" i="11"/>
  <c r="A35" i="18" s="1"/>
  <c r="E35" i="18" s="1"/>
  <c r="AH52" i="11"/>
  <c r="AI52" i="11" s="1"/>
  <c r="B33" i="18" s="1"/>
  <c r="AH53" i="11"/>
  <c r="AI53" i="11" s="1"/>
  <c r="B34" i="18" s="1"/>
  <c r="D21" i="5"/>
  <c r="N83" i="5"/>
  <c r="N50" i="5" l="1"/>
  <c r="N54" i="5"/>
  <c r="N51" i="5"/>
  <c r="N49" i="5"/>
  <c r="N52" i="5"/>
  <c r="N48" i="5"/>
  <c r="N55" i="5"/>
  <c r="K35" i="11"/>
  <c r="H30" i="18"/>
  <c r="D36" i="21" s="1"/>
  <c r="N47" i="5"/>
  <c r="N53" i="5"/>
  <c r="AI51" i="11"/>
  <c r="B32" i="18" s="1"/>
  <c r="E32" i="18" s="1"/>
  <c r="AI54" i="11"/>
  <c r="B35" i="18" s="1"/>
  <c r="A33" i="18"/>
  <c r="E33" i="18" s="1"/>
  <c r="A34" i="18"/>
  <c r="E34" i="18" s="1"/>
  <c r="N56" i="5" l="1"/>
  <c r="D20" i="5"/>
  <c r="F24" i="14"/>
  <c r="I24" i="14"/>
  <c r="F25" i="14"/>
  <c r="I26" i="14"/>
  <c r="O29" i="14"/>
  <c r="H13" i="11"/>
  <c r="H14" i="11"/>
  <c r="B17" i="11"/>
  <c r="U17" i="11"/>
  <c r="V17" i="11"/>
  <c r="AA45" i="11"/>
  <c r="AB47" i="11"/>
  <c r="I6" i="18"/>
  <c r="I11" i="18"/>
  <c r="C12" i="18"/>
  <c r="F12" i="18"/>
  <c r="D11" i="21"/>
  <c r="C19"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martin.brungard</author>
    <author>Martin Brungard</author>
  </authors>
  <commentList>
    <comment ref="A2" authorId="0" shapeId="0" xr:uid="{00000000-0006-0000-0100-000001000000}">
      <text>
        <r>
          <rPr>
            <sz val="8"/>
            <color indexed="81"/>
            <rFont val="Tahoma"/>
            <family val="2"/>
          </rPr>
          <t xml:space="preserve">Select the preferred volume measurement for brewing calculations.  
All mineral and acid additions are provided in grams and milliliters for 
all settings.  Grain addition settings switch to pounds and ounces 
when the volume setting is either gallons or barrels.  Grain addition 
settings switch to kilograms and grams when the volume setting is 
either liters or hectoliters.
</t>
        </r>
      </text>
    </comment>
    <comment ref="B2" authorId="1" shapeId="0" xr:uid="{00000000-0006-0000-0100-000002000000}">
      <text>
        <r>
          <rPr>
            <sz val="8"/>
            <color indexed="81"/>
            <rFont val="Tahoma"/>
            <family val="2"/>
          </rPr>
          <t>Click to select Volume setting: 
Gallons, Liters, Barrels, or Hectoliters</t>
        </r>
        <r>
          <rPr>
            <sz val="9"/>
            <color indexed="81"/>
            <rFont val="Tahoma"/>
            <family val="2"/>
          </rPr>
          <t xml:space="preserve">
</t>
        </r>
      </text>
    </comment>
    <comment ref="A4" authorId="0" shapeId="0" xr:uid="{00000000-0006-0000-0100-000003000000}">
      <text>
        <r>
          <rPr>
            <sz val="8"/>
            <color indexed="81"/>
            <rFont val="Tahoma"/>
            <family val="2"/>
          </rPr>
          <t xml:space="preserve">Input data into </t>
        </r>
        <r>
          <rPr>
            <b/>
            <sz val="8"/>
            <color indexed="15"/>
            <rFont val="Tahoma"/>
            <family val="2"/>
          </rPr>
          <t>blue</t>
        </r>
        <r>
          <rPr>
            <sz val="8"/>
            <color indexed="81"/>
            <rFont val="Tahoma"/>
            <family val="2"/>
          </rPr>
          <t xml:space="preserve"> cells only.  
Calculated data is shown in </t>
        </r>
        <r>
          <rPr>
            <b/>
            <sz val="8"/>
            <color indexed="50"/>
            <rFont val="Tahoma"/>
            <family val="2"/>
          </rPr>
          <t>yellow</t>
        </r>
        <r>
          <rPr>
            <sz val="8"/>
            <color indexed="81"/>
            <rFont val="Tahoma"/>
            <family val="2"/>
          </rPr>
          <t xml:space="preserve"> cells.</t>
        </r>
        <r>
          <rPr>
            <sz val="9"/>
            <color indexed="81"/>
            <rFont val="Tahoma"/>
            <family val="2"/>
          </rPr>
          <t xml:space="preserve">
</t>
        </r>
      </text>
    </comment>
    <comment ref="A5" authorId="1" shapeId="0" xr:uid="{00000000-0006-0000-0100-000004000000}">
      <text>
        <r>
          <rPr>
            <sz val="8"/>
            <color indexed="81"/>
            <rFont val="Tahoma"/>
            <family val="2"/>
          </rPr>
          <t>Cations are postively-charged ions</t>
        </r>
        <r>
          <rPr>
            <sz val="9"/>
            <color indexed="81"/>
            <rFont val="Tahoma"/>
            <family val="2"/>
          </rPr>
          <t xml:space="preserve">
</t>
        </r>
      </text>
    </comment>
    <comment ref="B5" authorId="0" shapeId="0" xr:uid="{00000000-0006-0000-0100-000005000000}">
      <text>
        <r>
          <rPr>
            <sz val="8"/>
            <color indexed="81"/>
            <rFont val="Tahoma"/>
            <family val="2"/>
          </rPr>
          <t xml:space="preserve">Enter in mg/L or ppm units only.  
If concentration is given in ug/L or ppb, 
divide that value by 1000 before entering 
the value into table below.
</t>
        </r>
      </text>
    </comment>
    <comment ref="D5" authorId="1" shapeId="0" xr:uid="{00000000-0006-0000-0100-000006000000}">
      <text>
        <r>
          <rPr>
            <sz val="8"/>
            <color indexed="81"/>
            <rFont val="Tahoma"/>
            <family val="2"/>
          </rPr>
          <t>Anions are negatively-charged ions</t>
        </r>
        <r>
          <rPr>
            <sz val="9"/>
            <color indexed="81"/>
            <rFont val="Tahoma"/>
            <family val="2"/>
          </rPr>
          <t xml:space="preserve">
</t>
        </r>
      </text>
    </comment>
    <comment ref="A6" authorId="1" shapeId="0" xr:uid="{00000000-0006-0000-0100-000007000000}">
      <text>
        <r>
          <rPr>
            <sz val="8"/>
            <color indexed="81"/>
            <rFont val="Tahoma"/>
            <family val="2"/>
          </rPr>
          <t>Calcium content can vary depending on the water source.  
Calcium content is sometimes reported (as CaCO</t>
        </r>
        <r>
          <rPr>
            <vertAlign val="subscript"/>
            <sz val="8"/>
            <color indexed="81"/>
            <rFont val="Tahoma"/>
            <family val="2"/>
          </rPr>
          <t>3</t>
        </r>
        <r>
          <rPr>
            <sz val="8"/>
            <color indexed="81"/>
            <rFont val="Tahoma"/>
            <family val="2"/>
          </rPr>
          <t xml:space="preserve">) and 
must be converted to (ppm) by multiplying by 0.401 for 
use in this program.  
If hardness and calcium values are provided in the water 
report, check the Hardness results shown below and 
compare to the Hardness shown in the water report.  
If they don't closely agree, there may be an error in the 
input units. Use the calculators below to try converting 
the calcium concentration to the proper ppm units.  
</t>
        </r>
      </text>
    </comment>
    <comment ref="D6" authorId="1" shapeId="0" xr:uid="{00000000-0006-0000-0100-000008000000}">
      <text>
        <r>
          <rPr>
            <sz val="8"/>
            <color indexed="81"/>
            <rFont val="Tahoma"/>
            <family val="2"/>
          </rPr>
          <t>Bicarbonate is typically the predominant Alkalinity producer 
at typical drinking water pH between 6.5 and 10.5.  
Bicarbonate is frequently reported (as CaCO</t>
        </r>
        <r>
          <rPr>
            <vertAlign val="subscript"/>
            <sz val="8"/>
            <color indexed="81"/>
            <rFont val="Tahoma"/>
            <family val="2"/>
          </rPr>
          <t>3</t>
        </r>
        <r>
          <rPr>
            <sz val="8"/>
            <color indexed="81"/>
            <rFont val="Tahoma"/>
            <family val="2"/>
          </rPr>
          <t>) units.  
"As CaCO</t>
        </r>
        <r>
          <rPr>
            <vertAlign val="subscript"/>
            <sz val="8"/>
            <color indexed="81"/>
            <rFont val="Tahoma"/>
            <family val="2"/>
          </rPr>
          <t>3</t>
        </r>
        <r>
          <rPr>
            <sz val="8"/>
            <color indexed="81"/>
            <rFont val="Tahoma"/>
            <family val="2"/>
          </rPr>
          <t xml:space="preserve">" units must be converted to (ppm) by 
multiplying by 1.22 for use in this program.   If the 
report does not balance, check the reporting units 
and convert as necessary.  
Check the alkalinity result below and compare to the 
alkalinity from the water report.  If they don't match 
very well, there may be a units error.  
Use the calculators below to aid in unit conversion.  
</t>
        </r>
      </text>
    </comment>
    <comment ref="A7" authorId="1" shapeId="0" xr:uid="{00000000-0006-0000-0100-000009000000}">
      <text>
        <r>
          <rPr>
            <sz val="8"/>
            <color indexed="81"/>
            <rFont val="Tahoma"/>
            <family val="2"/>
          </rPr>
          <t>Magnesium is typically low in most drinking water and is almost 
always at lower concentration than Calcium.  
Magnesium is sometimes reported (as CaCO</t>
        </r>
        <r>
          <rPr>
            <vertAlign val="subscript"/>
            <sz val="8"/>
            <color indexed="81"/>
            <rFont val="Tahoma"/>
            <family val="2"/>
          </rPr>
          <t>3</t>
        </r>
        <r>
          <rPr>
            <sz val="8"/>
            <color indexed="81"/>
            <rFont val="Tahoma"/>
            <family val="2"/>
          </rPr>
          <t xml:space="preserve">) and must be 
converted to (ppm) by multiplying by 0.243 for use in this program.  
If hardness and magnesium values are given in the water report, 
check the Hardness results shown below and compare to the 
Hardness shown in the water report.  If they don't closely agree, 
there may be an error in the input units.  Use the calculators below 
to try converting the magnesium concentration to proper ppm 
units.
</t>
        </r>
      </text>
    </comment>
    <comment ref="D7" authorId="1" shapeId="0" xr:uid="{00000000-0006-0000-0100-00000A000000}">
      <text>
        <r>
          <rPr>
            <sz val="8"/>
            <color indexed="81"/>
            <rFont val="Tahoma"/>
            <family val="2"/>
          </rPr>
          <t>Most drinking water supplies typically have a pH of less than 9. 
Carbonate ion does not exist in water with pH below 8 and is a 
minor component in water with its pH between 8 and 9.  
Carbonate may be reported in (as CaCO</t>
        </r>
        <r>
          <rPr>
            <vertAlign val="subscript"/>
            <sz val="8"/>
            <color indexed="81"/>
            <rFont val="Tahoma"/>
            <family val="2"/>
          </rPr>
          <t>3</t>
        </r>
        <r>
          <rPr>
            <sz val="8"/>
            <color indexed="81"/>
            <rFont val="Tahoma"/>
            <family val="2"/>
          </rPr>
          <t>) units and must be 
converted to (ppm) by multiplying by 0.60 for use in this program. 
If the water supply pH is below 9, Carbonate can be assumed to 
be</t>
        </r>
        <r>
          <rPr>
            <b/>
            <sz val="8"/>
            <color indexed="81"/>
            <rFont val="Tahoma"/>
            <family val="2"/>
          </rPr>
          <t xml:space="preserve"> Zero</t>
        </r>
        <r>
          <rPr>
            <sz val="8"/>
            <color indexed="81"/>
            <rFont val="Tahoma"/>
            <family val="2"/>
          </rPr>
          <t xml:space="preserve"> with little error.  This is a component that can be ignored 
if the concentration is unknown.
This Carbonate concentration is converted by the program to 
an equivalent Bicarbonate concentration for subsequent calculations.
The Carbonate concentration is converted to an equivalent 
Bicarbonate concentration if the Boiled Water conversion is 
performed.
</t>
        </r>
      </text>
    </comment>
    <comment ref="A8" authorId="1" shapeId="0" xr:uid="{00000000-0006-0000-0100-00000B000000}">
      <text>
        <r>
          <rPr>
            <sz val="8"/>
            <color indexed="81"/>
            <rFont val="Tahoma"/>
            <family val="2"/>
          </rPr>
          <t xml:space="preserve">Sodium content in drinking water is highly variable.  
Low to moderate sodium is an important factor in 
producing good beer.  This is a component that 
should not be ignored.
</t>
        </r>
      </text>
    </comment>
    <comment ref="D8" authorId="1" shapeId="0" xr:uid="{00000000-0006-0000-0100-00000C000000}">
      <text>
        <r>
          <rPr>
            <sz val="8"/>
            <color indexed="81"/>
            <rFont val="Tahoma"/>
            <family val="2"/>
          </rPr>
          <t>Sulfate is an important flavor component in brewing water.
If the water report result is presented in (SO</t>
        </r>
        <r>
          <rPr>
            <vertAlign val="subscript"/>
            <sz val="8"/>
            <color indexed="81"/>
            <rFont val="Tahoma"/>
            <family val="2"/>
          </rPr>
          <t>4</t>
        </r>
        <r>
          <rPr>
            <sz val="8"/>
            <color indexed="81"/>
            <rFont val="Tahoma"/>
            <family val="2"/>
          </rPr>
          <t>-S) (sulfate as 
sulfur) units, that value must be multiplied by 3 for use in 
this program.  
Use the calculator below to convert from SO</t>
        </r>
        <r>
          <rPr>
            <vertAlign val="subscript"/>
            <sz val="8"/>
            <color indexed="81"/>
            <rFont val="Tahoma"/>
            <family val="2"/>
          </rPr>
          <t>4</t>
        </r>
        <r>
          <rPr>
            <sz val="8"/>
            <color indexed="81"/>
            <rFont val="Tahoma"/>
            <family val="2"/>
          </rPr>
          <t>-S units to 
SO</t>
        </r>
        <r>
          <rPr>
            <vertAlign val="subscript"/>
            <sz val="8"/>
            <color indexed="81"/>
            <rFont val="Tahoma"/>
            <family val="2"/>
          </rPr>
          <t>4</t>
        </r>
        <r>
          <rPr>
            <sz val="8"/>
            <color indexed="81"/>
            <rFont val="Tahoma"/>
            <family val="2"/>
          </rPr>
          <t xml:space="preserve"> units.  
</t>
        </r>
      </text>
    </comment>
    <comment ref="F8" authorId="0" shapeId="0" xr:uid="{00000000-0006-0000-0100-00000D000000}">
      <text>
        <r>
          <rPr>
            <sz val="8"/>
            <color indexed="81"/>
            <rFont val="Tahoma"/>
            <family val="2"/>
          </rPr>
          <t>Some laboratories cater to agricultural clients and those 
clients are more interested in the total Sulfur content.  
They report in terms of "Sulfate as Sulphur" which is 
denoted "SO</t>
        </r>
        <r>
          <rPr>
            <vertAlign val="subscript"/>
            <sz val="8"/>
            <color indexed="81"/>
            <rFont val="Tahoma"/>
            <family val="2"/>
          </rPr>
          <t>4</t>
        </r>
        <r>
          <rPr>
            <sz val="8"/>
            <color indexed="81"/>
            <rFont val="Tahoma"/>
            <family val="2"/>
          </rPr>
          <t>-S".  The Brewer needs to convert that 
result to its true sulfate concentration by multiplying the 
SO</t>
        </r>
        <r>
          <rPr>
            <vertAlign val="subscript"/>
            <sz val="8"/>
            <color indexed="81"/>
            <rFont val="Tahoma"/>
            <family val="2"/>
          </rPr>
          <t>4</t>
        </r>
        <r>
          <rPr>
            <sz val="8"/>
            <color indexed="81"/>
            <rFont val="Tahoma"/>
            <family val="2"/>
          </rPr>
          <t xml:space="preserve">-S result by 3.
</t>
        </r>
      </text>
    </comment>
    <comment ref="D9" authorId="1" shapeId="0" xr:uid="{00000000-0006-0000-0100-00000E000000}">
      <text>
        <r>
          <rPr>
            <b/>
            <sz val="8"/>
            <color indexed="81"/>
            <rFont val="Tahoma"/>
            <family val="2"/>
          </rPr>
          <t xml:space="preserve">Chloride </t>
        </r>
        <r>
          <rPr>
            <sz val="8"/>
            <color indexed="81"/>
            <rFont val="Tahoma"/>
            <family val="2"/>
          </rPr>
          <t xml:space="preserve">is an important flavor component in brewing water.
Chloride is not the same as </t>
        </r>
        <r>
          <rPr>
            <b/>
            <sz val="8"/>
            <color indexed="81"/>
            <rFont val="Tahoma"/>
            <family val="2"/>
          </rPr>
          <t>Chlorine</t>
        </r>
        <r>
          <rPr>
            <sz val="8"/>
            <color indexed="81"/>
            <rFont val="Tahoma"/>
            <family val="2"/>
          </rPr>
          <t xml:space="preserve">.  Do not enter the tap 
water's Chlorine concentration here.  Chlorine is a common 
water disinfectant and typically ranges from about 1 to 3 ppm 
in most municipal water supplies.   Chloride concentration in 
most water supplies is typically higher than that.
</t>
        </r>
      </text>
    </comment>
    <comment ref="D10" authorId="1" shapeId="0" xr:uid="{00000000-0006-0000-0100-00000F000000}">
      <text>
        <r>
          <rPr>
            <sz val="8"/>
            <color indexed="81"/>
            <rFont val="Tahoma"/>
            <family val="2"/>
          </rPr>
          <t>Nitrate is typically low in most drinking water.  
If the result is presented in (NO</t>
        </r>
        <r>
          <rPr>
            <vertAlign val="subscript"/>
            <sz val="8"/>
            <color indexed="81"/>
            <rFont val="Tahoma"/>
            <family val="2"/>
          </rPr>
          <t>3</t>
        </r>
        <r>
          <rPr>
            <sz val="8"/>
            <color indexed="81"/>
            <rFont val="Tahoma"/>
            <family val="2"/>
          </rPr>
          <t>-N) (nitrate 
as nitrogen) units, it must be multiplied by 
4.43 to convert that result into its true nitrate 
concentration for use in this program.  
Enter</t>
        </r>
        <r>
          <rPr>
            <b/>
            <sz val="8"/>
            <color indexed="81"/>
            <rFont val="Tahoma"/>
            <family val="2"/>
          </rPr>
          <t xml:space="preserve"> Zero</t>
        </r>
        <r>
          <rPr>
            <sz val="8"/>
            <color indexed="81"/>
            <rFont val="Tahoma"/>
            <family val="2"/>
          </rPr>
          <t xml:space="preserve"> if this concentration is not known.  
This is a component that can be ignored if its 
concentration is unknown.
Nitrate should typically be less than 44 ppm for 
potable water.
This ion is not used for brewing calculations, but 
may be useful for assessing the balance of cations 
and anions.
</t>
        </r>
      </text>
    </comment>
    <comment ref="F10" authorId="0" shapeId="0" xr:uid="{00000000-0006-0000-0100-000010000000}">
      <text>
        <r>
          <rPr>
            <sz val="8"/>
            <color indexed="81"/>
            <rFont val="Tahoma"/>
            <family val="2"/>
          </rPr>
          <t>Some laboratories cater to agricultural clients and 
those clients are more interested in the total 
Nitrogen content.  They report in terms of 
"Nitrate as Nitrogen" which is denoted "NO</t>
        </r>
        <r>
          <rPr>
            <vertAlign val="subscript"/>
            <sz val="8"/>
            <color indexed="81"/>
            <rFont val="Tahoma"/>
            <family val="2"/>
          </rPr>
          <t>3</t>
        </r>
        <r>
          <rPr>
            <sz val="8"/>
            <color indexed="81"/>
            <rFont val="Tahoma"/>
            <family val="2"/>
          </rPr>
          <t>-N". 
The Brewer needs to convert that result to its true 
nitrate concentration by multiplying the NO</t>
        </r>
        <r>
          <rPr>
            <vertAlign val="subscript"/>
            <sz val="8"/>
            <color indexed="81"/>
            <rFont val="Tahoma"/>
            <family val="2"/>
          </rPr>
          <t>3</t>
        </r>
        <r>
          <rPr>
            <sz val="8"/>
            <color indexed="81"/>
            <rFont val="Tahoma"/>
            <family val="2"/>
          </rPr>
          <t xml:space="preserve">-N 
result by 4.43.
</t>
        </r>
      </text>
    </comment>
    <comment ref="A11" authorId="1" shapeId="0" xr:uid="{00000000-0006-0000-0100-000011000000}">
      <text>
        <r>
          <rPr>
            <sz val="8"/>
            <color indexed="81"/>
            <rFont val="Tahoma"/>
            <family val="2"/>
          </rPr>
          <t>Potassium is typically low in most drinking water. 
If the Potassium content is unknown, enter</t>
        </r>
        <r>
          <rPr>
            <b/>
            <sz val="8"/>
            <color indexed="81"/>
            <rFont val="Tahoma"/>
            <family val="2"/>
          </rPr>
          <t xml:space="preserve"> Zero</t>
        </r>
        <r>
          <rPr>
            <sz val="8"/>
            <color indexed="81"/>
            <rFont val="Tahoma"/>
            <family val="2"/>
          </rPr>
          <t xml:space="preserve">.  
This is a water component that can be ignored 
for most water sources.
This ion is not used for brewing calculations, 
but may be useful for assessing the balance of 
cations and anions.
</t>
        </r>
      </text>
    </comment>
    <comment ref="D11" authorId="1" shapeId="0" xr:uid="{00000000-0006-0000-0100-000012000000}">
      <text>
        <r>
          <rPr>
            <sz val="8"/>
            <color indexed="81"/>
            <rFont val="Tahoma"/>
            <family val="2"/>
          </rPr>
          <t xml:space="preserve">Nitrite is typically low in most drinking water.  
Enter </t>
        </r>
        <r>
          <rPr>
            <b/>
            <sz val="8"/>
            <color indexed="81"/>
            <rFont val="Tahoma"/>
            <family val="2"/>
          </rPr>
          <t>Zero</t>
        </r>
        <r>
          <rPr>
            <sz val="8"/>
            <color indexed="81"/>
            <rFont val="Tahoma"/>
            <family val="2"/>
          </rPr>
          <t xml:space="preserve"> if this concentration is not known.
This is a component that can be ignored if its 
concentration is unknown.
This ion is not used for brewing calculations, 
but may be useful for assessing the balance of 
cations and anions.
</t>
        </r>
      </text>
    </comment>
    <comment ref="A12" authorId="1" shapeId="0" xr:uid="{00000000-0006-0000-0100-000013000000}">
      <text>
        <r>
          <rPr>
            <sz val="8"/>
            <color indexed="81"/>
            <rFont val="Tahoma"/>
            <family val="2"/>
          </rPr>
          <t xml:space="preserve">Iron is typically at low concentration (&lt;0.3 ppm) in good brewing water. 
Iron greater than this concentration may be tasted in the water and beer. 
If the Iron concentration is not known, enter </t>
        </r>
        <r>
          <rPr>
            <b/>
            <sz val="8"/>
            <color indexed="81"/>
            <rFont val="Tahoma"/>
            <family val="2"/>
          </rPr>
          <t>Zero</t>
        </r>
        <r>
          <rPr>
            <sz val="8"/>
            <color indexed="81"/>
            <rFont val="Tahoma"/>
            <family val="2"/>
          </rPr>
          <t xml:space="preserve">.  This is a water 
component that can be ignored in this input table if its concentration is 
not known.  
Iron concentration is often reported as ug/L, ppb, or parts per billion.  
Divide iron reported as ug/L or ppb by 1000 to convert to mg/L or ppm.  
1000 ug/L is equal to 1 mg/L. 
</t>
        </r>
        <r>
          <rPr>
            <b/>
            <sz val="8"/>
            <color indexed="81"/>
            <rFont val="Tahoma"/>
            <family val="2"/>
          </rPr>
          <t xml:space="preserve">
If the reported Iron concentration is greater than 1, then the 
reporting units may need to be converted.
</t>
        </r>
        <r>
          <rPr>
            <sz val="8"/>
            <color indexed="81"/>
            <rFont val="Tahoma"/>
            <family val="2"/>
          </rPr>
          <t xml:space="preserve">This ion is not used for brewing calculations, but may be useful for 
assessing the balance of cations and anions.
</t>
        </r>
      </text>
    </comment>
    <comment ref="D12" authorId="1" shapeId="0" xr:uid="{00000000-0006-0000-0100-000014000000}">
      <text>
        <r>
          <rPr>
            <sz val="8"/>
            <color indexed="81"/>
            <rFont val="Tahoma"/>
            <family val="2"/>
          </rPr>
          <t xml:space="preserve">Fluoride is typically at low concentrations in 
drinking water.  
Enter </t>
        </r>
        <r>
          <rPr>
            <b/>
            <sz val="8"/>
            <color indexed="81"/>
            <rFont val="Tahoma"/>
            <family val="2"/>
          </rPr>
          <t>Zero</t>
        </r>
        <r>
          <rPr>
            <sz val="8"/>
            <color indexed="81"/>
            <rFont val="Tahoma"/>
            <family val="2"/>
          </rPr>
          <t xml:space="preserve"> if the concentration is not known.
This is a component that can be ignored if its 
concentration is unknown.
This ion is not used for brewing calculations, 
but may be useful for assessing the balance of 
cations and anions.
</t>
        </r>
      </text>
    </comment>
    <comment ref="A14" authorId="1" shapeId="0" xr:uid="{00000000-0006-0000-0100-000015000000}">
      <text>
        <r>
          <rPr>
            <sz val="8"/>
            <color indexed="81"/>
            <rFont val="Tahoma"/>
            <family val="2"/>
          </rPr>
          <t>Use this calculator to convert tap water 
concentrations to their post-boil calcium 
and bicarbonate concentrations.</t>
        </r>
        <r>
          <rPr>
            <sz val="9"/>
            <color indexed="81"/>
            <rFont val="Tahoma"/>
            <family val="2"/>
          </rPr>
          <t xml:space="preserve">
</t>
        </r>
      </text>
    </comment>
    <comment ref="A15" authorId="1" shapeId="0" xr:uid="{00000000-0006-0000-0100-000016000000}">
      <text>
        <r>
          <rPr>
            <b/>
            <sz val="8"/>
            <color indexed="81"/>
            <rFont val="Tahoma"/>
            <family val="2"/>
          </rPr>
          <t xml:space="preserve">Use this tool ONLY if you boil and decant your water supply prior to brewing use. 
</t>
        </r>
        <r>
          <rPr>
            <sz val="8"/>
            <color indexed="81"/>
            <rFont val="Tahoma"/>
            <family val="2"/>
          </rPr>
          <t xml:space="preserve">Use this tool to convert your tap water profile into its estimated boiled water profile. The 
resulting estimated boiled water profile is used for all calculations in the program. Do not 
press "Click to Convert" if this if preboiling is not performed.
</t>
        </r>
        <r>
          <rPr>
            <b/>
            <sz val="8"/>
            <color indexed="81"/>
            <rFont val="Tahoma"/>
            <family val="2"/>
          </rPr>
          <t xml:space="preserve">To use tool: </t>
        </r>
        <r>
          <rPr>
            <sz val="8"/>
            <color indexed="81"/>
            <rFont val="Tahoma"/>
            <family val="2"/>
          </rPr>
          <t xml:space="preserve">
1.  Input your tap water parameters into the Table above.
2.  Select the Boiling Effectiveness setting from the dropdown box.
3.  Press "</t>
        </r>
        <r>
          <rPr>
            <b/>
            <sz val="8"/>
            <color indexed="81"/>
            <rFont val="Tahoma"/>
            <family val="2"/>
          </rPr>
          <t>Click to Convert</t>
        </r>
        <r>
          <rPr>
            <sz val="8"/>
            <color indexed="81"/>
            <rFont val="Tahoma"/>
            <family val="2"/>
          </rPr>
          <t>" to have the program calculate the new calcium and bicarbonate 
concentrations.
4.  Re-Enter the original calcium, bicarbonate, and carbonate values if you want to recompute 
the result at another setting.</t>
        </r>
        <r>
          <rPr>
            <sz val="9"/>
            <color indexed="81"/>
            <rFont val="Tahoma"/>
            <family val="2"/>
          </rPr>
          <t xml:space="preserve">
</t>
        </r>
      </text>
    </comment>
    <comment ref="D15" authorId="1" shapeId="0" xr:uid="{00000000-0006-0000-0100-000017000000}">
      <text>
        <r>
          <rPr>
            <sz val="8"/>
            <color indexed="81"/>
            <rFont val="Tahoma"/>
            <family val="2"/>
          </rPr>
          <t>The effectiveness of Boiling to reduce Temporary Hardness can vary. 
In most cases, the ending bicarbonate concentration will end up between 
50 and 80 ppm. Better preboiling technique should end up with lower 
bicarbonate content. 
To aid in determining what the post-boil water alkalinity is, an Alkalinity Test 
kit result for the post-boiled water can be used guide this setting. 
Compare the alkalinity test kit result with the Alkalinity value reported 
below. Adjust the Boiling Effectiveness setting to approximate your test 
result. The Effectiveness setting does not need to be identical to your 
test result. Just get the setting close to the alkalinity testing result.</t>
        </r>
        <r>
          <rPr>
            <sz val="9"/>
            <color indexed="81"/>
            <rFont val="Tahoma"/>
            <family val="2"/>
          </rPr>
          <t xml:space="preserve">
</t>
        </r>
      </text>
    </comment>
    <comment ref="A17" authorId="1" shapeId="0" xr:uid="{00000000-0006-0000-0100-000018000000}">
      <text>
        <r>
          <rPr>
            <sz val="9"/>
            <color indexed="81"/>
            <rFont val="Tahoma"/>
            <family val="2"/>
          </rPr>
          <t xml:space="preserve">The quantity of cations and anions in water is always equal. However, reporting errors or the presence of ions in the water that were not tested for, will through off that equality. So, perfect agreement is not a requirement. However, the sums should be similar.  
</t>
        </r>
      </text>
    </comment>
    <comment ref="B18" authorId="1" shapeId="0" xr:uid="{00000000-0006-0000-0100-000019000000}">
      <text>
        <r>
          <rPr>
            <sz val="8"/>
            <color indexed="81"/>
            <rFont val="Tahoma"/>
            <family val="2"/>
          </rPr>
          <t>This reports the total Cation content calculated from the water report.</t>
        </r>
      </text>
    </comment>
    <comment ref="C18" authorId="1" shapeId="0" xr:uid="{00000000-0006-0000-0100-00001A000000}">
      <text>
        <r>
          <rPr>
            <sz val="8"/>
            <color indexed="81"/>
            <rFont val="Tahoma"/>
            <family val="2"/>
          </rPr>
          <t xml:space="preserve">This result should be close to zero, but the result does not have to be exactly zero.
A difference of 0.1 or less shows good agreement for the cation and anion totals.  
If the cation and anion totals don't fall within 0.5 meq/L of each other, begin to 
question the reported concentrations.
Examine each entry and make sure that they are reported in the proper units and 
convert any that are not in the proper units.
</t>
        </r>
      </text>
    </comment>
    <comment ref="B19" authorId="1" shapeId="0" xr:uid="{00000000-0006-0000-0100-00001B000000}">
      <text>
        <r>
          <rPr>
            <sz val="8"/>
            <color indexed="81"/>
            <rFont val="Tahoma"/>
            <family val="2"/>
          </rPr>
          <t>This reports the total Anion content calculated from the water report.</t>
        </r>
      </text>
    </comment>
    <comment ref="C19" authorId="0" shapeId="0" xr:uid="{00000000-0006-0000-0100-00001C000000}">
      <text>
        <r>
          <rPr>
            <b/>
            <sz val="8"/>
            <color indexed="81"/>
            <rFont val="Tahoma"/>
            <family val="2"/>
          </rPr>
          <t>Total Dissolved Solids</t>
        </r>
        <r>
          <rPr>
            <sz val="8"/>
            <color indexed="81"/>
            <rFont val="Tahoma"/>
            <family val="2"/>
          </rPr>
          <t xml:space="preserve"> indicates the amount of mineralization of the water. 
It is calculated as the sum of the Cation and Anion concentrations. 
Although not very useful to brewing, it can be used as a quick field check 
between the water report and the tap water.  A TDS meter provides a field 
check of the tap water.  The typical meter is accurate to within +/- 4% of 
the actual TDS value.  
Since the tap water may have other ionic content that was not tested for or 
reported in the lab testing, the TDS meter is more likely to report a higher 
value than calculated here.  
A TDS meter reading is useful for checking water supply variability.  When 
the meter reading differs significantly from this calculated value, the tap water 
quality may have changed from the reported values.
</t>
        </r>
      </text>
    </comment>
    <comment ref="B22" authorId="1" shapeId="0" xr:uid="{00000000-0006-0000-0100-00001D000000}">
      <text>
        <r>
          <rPr>
            <sz val="8"/>
            <color indexed="81"/>
            <rFont val="Tahoma"/>
            <family val="2"/>
          </rPr>
          <t xml:space="preserve">Total Hardness = ((Ca/20)+(Mg/12.15))*50
</t>
        </r>
      </text>
    </comment>
    <comment ref="C22" authorId="0" shapeId="0" xr:uid="{00000000-0006-0000-0100-00001E000000}">
      <text>
        <r>
          <rPr>
            <sz val="8"/>
            <color indexed="81"/>
            <rFont val="Tahoma"/>
            <family val="2"/>
          </rPr>
          <t xml:space="preserve">Alkalinity is calculated from the bicarbonate and carbonate concentrations. 
</t>
        </r>
      </text>
    </comment>
    <comment ref="B23" authorId="1" shapeId="0" xr:uid="{00000000-0006-0000-0100-00001F000000}">
      <text>
        <r>
          <rPr>
            <sz val="8"/>
            <color indexed="81"/>
            <rFont val="Tahoma"/>
            <family val="2"/>
          </rPr>
          <t>Permanent Hardness = Total Hardness - Alkalinity</t>
        </r>
        <r>
          <rPr>
            <b/>
            <sz val="8"/>
            <color indexed="81"/>
            <rFont val="Tahoma"/>
            <family val="2"/>
          </rPr>
          <t xml:space="preserve">
</t>
        </r>
      </text>
    </comment>
    <comment ref="C23" authorId="1" shapeId="0" xr:uid="{00000000-0006-0000-0100-000020000000}">
      <text>
        <r>
          <rPr>
            <sz val="8"/>
            <color indexed="81"/>
            <rFont val="Tahoma"/>
            <family val="2"/>
          </rPr>
          <t>Residual Alkalinity (RA) is an approximate measure of the water's performance 
during mashing. RA around zero or less may be more suited to pale beer 
brewing while RA of greater than about 50 may be more suitable for darker 
beer brewing. RA can be a negative value.</t>
        </r>
        <r>
          <rPr>
            <b/>
            <sz val="8"/>
            <color indexed="81"/>
            <rFont val="Tahoma"/>
            <family val="2"/>
          </rPr>
          <t xml:space="preserve">
</t>
        </r>
      </text>
    </comment>
    <comment ref="B24" authorId="1" shapeId="0" xr:uid="{00000000-0006-0000-0100-000021000000}">
      <text>
        <r>
          <rPr>
            <sz val="8"/>
            <color indexed="81"/>
            <rFont val="Tahoma"/>
            <family val="2"/>
          </rPr>
          <t>Temporary Hardness = Alkalinity</t>
        </r>
      </text>
    </comment>
    <comment ref="A26" authorId="0" shapeId="0" xr:uid="{00000000-0006-0000-0100-000022000000}">
      <text>
        <r>
          <rPr>
            <sz val="8"/>
            <color indexed="81"/>
            <rFont val="Tahoma"/>
            <family val="2"/>
          </rPr>
          <t>Total Alkalinity and Temporary Hardness 
are typically equal to each other and can 
be used to estimate bicarbonate content.</t>
        </r>
        <r>
          <rPr>
            <sz val="9"/>
            <color indexed="81"/>
            <rFont val="Tahoma"/>
            <family val="2"/>
          </rPr>
          <t xml:space="preserve">
</t>
        </r>
      </text>
    </comment>
    <comment ref="B28" authorId="1" shapeId="0" xr:uid="{00000000-0006-0000-0100-000023000000}">
      <text>
        <r>
          <rPr>
            <sz val="8"/>
            <color indexed="81"/>
            <rFont val="Tahoma"/>
            <family val="2"/>
          </rPr>
          <t xml:space="preserve">If pH is unknown, ENTER 8
To find the equivalent Carbonate concentration 
for a reported Alkalinity, set the pH to </t>
        </r>
        <r>
          <rPr>
            <b/>
            <sz val="8"/>
            <color indexed="81"/>
            <rFont val="Tahoma"/>
            <family val="2"/>
          </rPr>
          <t xml:space="preserve">14.  
Reporting as Carbonate is common in some 
countries.  
</t>
        </r>
        <r>
          <rPr>
            <sz val="8"/>
            <color indexed="81"/>
            <rFont val="Tahoma"/>
            <family val="2"/>
          </rPr>
          <t>To find the equivalent Bicarbonate concentration 
for a reported Alkalinity, set the pH value to</t>
        </r>
        <r>
          <rPr>
            <b/>
            <sz val="8"/>
            <color indexed="81"/>
            <rFont val="Tahoma"/>
            <family val="2"/>
          </rPr>
          <t xml:space="preserve"> 6 or 
less.
</t>
        </r>
      </text>
    </comment>
    <comment ref="C28" authorId="1" shapeId="0" xr:uid="{00000000-0006-0000-0100-000024000000}">
      <text>
        <r>
          <rPr>
            <sz val="8"/>
            <color indexed="81"/>
            <rFont val="Tahoma"/>
            <family val="2"/>
          </rPr>
          <t>Enter this result in the Bicarbonate cell above.</t>
        </r>
      </text>
    </comment>
    <comment ref="D28" authorId="1" shapeId="0" xr:uid="{00000000-0006-0000-0100-000025000000}">
      <text>
        <r>
          <rPr>
            <sz val="8"/>
            <color indexed="81"/>
            <rFont val="Tahoma"/>
            <family val="2"/>
          </rPr>
          <t>Enter this result in the Carbonate cell above.</t>
        </r>
      </text>
    </comment>
    <comment ref="A30" authorId="0" shapeId="0" xr:uid="{00000000-0006-0000-0100-000026000000}">
      <text>
        <r>
          <rPr>
            <sz val="8"/>
            <color indexed="81"/>
            <rFont val="Tahoma"/>
            <family val="2"/>
          </rPr>
          <t>Use this calculator to convert water report results that are given in 
(as CaCO</t>
        </r>
        <r>
          <rPr>
            <vertAlign val="subscript"/>
            <sz val="8"/>
            <color indexed="81"/>
            <rFont val="Tahoma"/>
            <family val="2"/>
          </rPr>
          <t>3</t>
        </r>
        <r>
          <rPr>
            <sz val="8"/>
            <color indexed="81"/>
            <rFont val="Tahoma"/>
            <family val="2"/>
          </rPr>
          <t>), (SO</t>
        </r>
        <r>
          <rPr>
            <vertAlign val="subscript"/>
            <sz val="8"/>
            <color indexed="81"/>
            <rFont val="Tahoma"/>
            <family val="2"/>
          </rPr>
          <t>4</t>
        </r>
        <r>
          <rPr>
            <sz val="8"/>
            <color indexed="81"/>
            <rFont val="Tahoma"/>
            <family val="2"/>
          </rPr>
          <t>-S), or (NO</t>
        </r>
        <r>
          <rPr>
            <vertAlign val="subscript"/>
            <sz val="8"/>
            <color indexed="81"/>
            <rFont val="Tahoma"/>
            <family val="2"/>
          </rPr>
          <t>3</t>
        </r>
        <r>
          <rPr>
            <sz val="8"/>
            <color indexed="81"/>
            <rFont val="Tahoma"/>
            <family val="2"/>
          </rPr>
          <t xml:space="preserve">-N) units into their actual ion 
concentrations in ppm for use in the </t>
        </r>
        <r>
          <rPr>
            <b/>
            <sz val="8"/>
            <color indexed="81"/>
            <rFont val="Tahoma"/>
            <family val="2"/>
          </rPr>
          <t>Water Report Input</t>
        </r>
        <r>
          <rPr>
            <sz val="8"/>
            <color indexed="81"/>
            <rFont val="Tahoma"/>
            <family val="2"/>
          </rPr>
          <t xml:space="preserve"> section 
above.
</t>
        </r>
      </text>
    </comment>
    <comment ref="D43" authorId="0" shapeId="0" xr:uid="{00000000-0006-0000-0100-000027000000}">
      <text>
        <r>
          <rPr>
            <sz val="8"/>
            <color indexed="81"/>
            <rFont val="Tahoma"/>
            <family val="2"/>
          </rPr>
          <t xml:space="preserve">This approximation is only valid when 
water pH is less than 8.5.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martin.brungard</author>
    <author>Martin Brungard</author>
  </authors>
  <commentList>
    <comment ref="A3" authorId="0" shapeId="0" xr:uid="{00000000-0006-0000-0200-000001000000}">
      <text>
        <r>
          <rPr>
            <sz val="8"/>
            <color indexed="81"/>
            <rFont val="Tahoma"/>
            <family val="2"/>
          </rPr>
          <t>Use this tool for acidification of Sparging Water and Mash Out Water.</t>
        </r>
      </text>
    </comment>
    <comment ref="B5" authorId="1" shapeId="0" xr:uid="{00000000-0006-0000-0200-000002000000}">
      <text>
        <r>
          <rPr>
            <sz val="8"/>
            <color indexed="81"/>
            <rFont val="Tahoma"/>
            <family val="2"/>
          </rPr>
          <t xml:space="preserve">This value is taken from the Alkalinity value calculated on the 
</t>
        </r>
        <r>
          <rPr>
            <b/>
            <sz val="8"/>
            <color indexed="81"/>
            <rFont val="Tahoma"/>
            <family val="2"/>
          </rPr>
          <t>Water Report Input</t>
        </r>
        <r>
          <rPr>
            <sz val="8"/>
            <color indexed="81"/>
            <rFont val="Tahoma"/>
            <family val="2"/>
          </rPr>
          <t xml:space="preserve"> sheet.  Use the water inputs on that 
sheet to adjust this Alkalinity value.
This cell turns</t>
        </r>
        <r>
          <rPr>
            <b/>
            <sz val="8"/>
            <color indexed="17"/>
            <rFont val="Tahoma"/>
            <family val="2"/>
          </rPr>
          <t xml:space="preserve"> Green</t>
        </r>
        <r>
          <rPr>
            <sz val="8"/>
            <color indexed="81"/>
            <rFont val="Tahoma"/>
            <family val="2"/>
          </rPr>
          <t xml:space="preserve"> if the Starting Water Alkalinity input is 
less than 25 ppm.  That indicates that sparging water 
acidification is not needed.
</t>
        </r>
      </text>
    </comment>
    <comment ref="B6" authorId="1" shapeId="0" xr:uid="{00000000-0006-0000-0200-000003000000}">
      <text>
        <r>
          <rPr>
            <sz val="8"/>
            <color indexed="81"/>
            <rFont val="Tahoma"/>
            <family val="2"/>
          </rPr>
          <t xml:space="preserve">Starting pH of the water may be provided by the water company, 
lab report, or can be measured directly with test strips or pH meter.
If this value is unknown, enter </t>
        </r>
        <r>
          <rPr>
            <b/>
            <sz val="8"/>
            <color indexed="81"/>
            <rFont val="Tahoma"/>
            <family val="2"/>
          </rPr>
          <t>8</t>
        </r>
        <r>
          <rPr>
            <sz val="8"/>
            <color indexed="81"/>
            <rFont val="Tahoma"/>
            <family val="2"/>
          </rPr>
          <t xml:space="preserve"> as a good estimate of typical 
water pH.
</t>
        </r>
      </text>
    </comment>
    <comment ref="A7" authorId="0" shapeId="0" xr:uid="{00000000-0006-0000-0200-000004000000}">
      <text>
        <r>
          <rPr>
            <sz val="8"/>
            <color indexed="81"/>
            <rFont val="Tahoma"/>
            <family val="2"/>
          </rPr>
          <t xml:space="preserve">If the Starting Water will be diluted, select the type of 
dilution water (RO or Distilled) water from the adjacent 
drop-down box.  If the Starting Water will not be diluted, 
select "None" from the drop-down box. 
You can </t>
        </r>
        <r>
          <rPr>
            <b/>
            <sz val="8"/>
            <color indexed="81"/>
            <rFont val="Tahoma"/>
            <family val="2"/>
          </rPr>
          <t xml:space="preserve">EDIT </t>
        </r>
        <r>
          <rPr>
            <sz val="8"/>
            <color indexed="81"/>
            <rFont val="Tahoma"/>
            <family val="2"/>
          </rPr>
          <t xml:space="preserve">the Names or Ion content of the </t>
        </r>
        <r>
          <rPr>
            <b/>
            <sz val="8"/>
            <color indexed="81"/>
            <rFont val="Tahoma"/>
            <family val="2"/>
          </rPr>
          <t>RO and 
Distilled water profiles</t>
        </r>
        <r>
          <rPr>
            <sz val="8"/>
            <color indexed="81"/>
            <rFont val="Tahoma"/>
            <family val="2"/>
          </rPr>
          <t xml:space="preserve"> on the </t>
        </r>
        <r>
          <rPr>
            <b/>
            <sz val="8"/>
            <color indexed="81"/>
            <rFont val="Tahoma"/>
            <family val="2"/>
          </rPr>
          <t xml:space="preserve">Water Adjustment 
</t>
        </r>
        <r>
          <rPr>
            <sz val="8"/>
            <color indexed="81"/>
            <rFont val="Tahoma"/>
            <family val="2"/>
          </rPr>
          <t xml:space="preserve">page.
</t>
        </r>
      </text>
    </comment>
    <comment ref="B7" authorId="0" shapeId="0" xr:uid="{00000000-0006-0000-0200-000005000000}">
      <text>
        <r>
          <rPr>
            <sz val="8"/>
            <color indexed="81"/>
            <rFont val="Tahoma"/>
            <family val="2"/>
          </rPr>
          <t xml:space="preserve">Click the cell and a selection box will appear with 
</t>
        </r>
        <r>
          <rPr>
            <b/>
            <sz val="8"/>
            <color indexed="81"/>
            <rFont val="Tahoma"/>
            <family val="2"/>
          </rPr>
          <t>None, Distilled</t>
        </r>
        <r>
          <rPr>
            <sz val="8"/>
            <color indexed="81"/>
            <rFont val="Tahoma"/>
            <family val="2"/>
          </rPr>
          <t xml:space="preserve">, and </t>
        </r>
        <r>
          <rPr>
            <b/>
            <sz val="8"/>
            <color indexed="81"/>
            <rFont val="Tahoma"/>
            <family val="2"/>
          </rPr>
          <t>RO Water</t>
        </r>
        <r>
          <rPr>
            <sz val="8"/>
            <color indexed="81"/>
            <rFont val="Tahoma"/>
            <family val="2"/>
          </rPr>
          <t xml:space="preserve"> options.</t>
        </r>
        <r>
          <rPr>
            <sz val="9"/>
            <color indexed="81"/>
            <rFont val="Tahoma"/>
            <family val="2"/>
          </rPr>
          <t xml:space="preserve">
</t>
        </r>
      </text>
    </comment>
    <comment ref="B8" authorId="0" shapeId="0" xr:uid="{00000000-0006-0000-0200-000006000000}">
      <text>
        <r>
          <rPr>
            <sz val="8"/>
            <color indexed="81"/>
            <rFont val="Tahoma"/>
            <family val="2"/>
          </rPr>
          <t xml:space="preserve">This is the percentage of the water that is either 
RO or Distilled water.
This percentage setting only has effect if the 
Dilution Water Used is changed from None to 
Distilled or RO.
</t>
        </r>
      </text>
    </comment>
    <comment ref="B9" authorId="0" shapeId="0" xr:uid="{00000000-0006-0000-0200-000007000000}">
      <text>
        <r>
          <rPr>
            <sz val="8"/>
            <color indexed="81"/>
            <rFont val="Tahoma"/>
            <family val="2"/>
          </rPr>
          <t xml:space="preserve">This is the alkalinity of the water when diluted to the percentage 
above.  This Dilution Calculator computes the Alkalinity of the 
Distilled Water and RO Water from their profiles which are input 
on the </t>
        </r>
        <r>
          <rPr>
            <b/>
            <sz val="8"/>
            <color indexed="81"/>
            <rFont val="Tahoma"/>
            <family val="2"/>
          </rPr>
          <t>Water Adjustment</t>
        </r>
        <r>
          <rPr>
            <sz val="8"/>
            <color indexed="81"/>
            <rFont val="Tahoma"/>
            <family val="2"/>
          </rPr>
          <t xml:space="preserve"> page. The User can edit those 
profiles as needed.
This cell turns</t>
        </r>
        <r>
          <rPr>
            <b/>
            <sz val="8"/>
            <color indexed="17"/>
            <rFont val="Tahoma"/>
            <family val="2"/>
          </rPr>
          <t xml:space="preserve"> Green</t>
        </r>
        <r>
          <rPr>
            <sz val="8"/>
            <color indexed="81"/>
            <rFont val="Tahoma"/>
            <family val="2"/>
          </rPr>
          <t xml:space="preserve"> when the diluted water alkalinity is less 
than 25 ppm, indicating that acidification is unnecessary.
</t>
        </r>
      </text>
    </comment>
    <comment ref="B10" authorId="0" shapeId="0" xr:uid="{00000000-0006-0000-0200-000008000000}">
      <text>
        <r>
          <rPr>
            <sz val="8"/>
            <color indexed="81"/>
            <rFont val="Tahoma"/>
            <family val="2"/>
          </rPr>
          <t xml:space="preserve">This is the water pH when diluted to the percentage above.
This Dilution Calculator assumes the pH of Distilled Water 
and RO Water are 6.5.  The true pH of those dilution waters 
may range from 5 to 7, but this is an adequate pH estimate 
for this usage and actual deviation from this assumption has 
little effect on the calculation accuracy.
</t>
        </r>
      </text>
    </comment>
    <comment ref="B11" authorId="1" shapeId="0" xr:uid="{00000000-0006-0000-0200-000009000000}">
      <text>
        <r>
          <rPr>
            <sz val="8"/>
            <color indexed="81"/>
            <rFont val="Tahoma"/>
            <family val="2"/>
          </rPr>
          <t xml:space="preserve">This is the </t>
        </r>
        <r>
          <rPr>
            <b/>
            <sz val="8"/>
            <color indexed="81"/>
            <rFont val="Tahoma"/>
            <family val="2"/>
          </rPr>
          <t>PRIMARY ADJUSTMENT</t>
        </r>
        <r>
          <rPr>
            <sz val="8"/>
            <color indexed="81"/>
            <rFont val="Tahoma"/>
            <family val="2"/>
          </rPr>
          <t xml:space="preserve"> used in sparging water 
acidification. Enter the target water pH of the Sparge Water.
Cell will turn </t>
        </r>
        <r>
          <rPr>
            <b/>
            <sz val="8"/>
            <color indexed="10"/>
            <rFont val="Tahoma"/>
            <family val="2"/>
          </rPr>
          <t>RED</t>
        </r>
        <r>
          <rPr>
            <sz val="8"/>
            <color indexed="81"/>
            <rFont val="Tahoma"/>
            <family val="2"/>
          </rPr>
          <t xml:space="preserve"> if the Target pH is above the Diluted pH.
Brewing Sparge Water is usually neutralized to a pH between</t>
        </r>
        <r>
          <rPr>
            <b/>
            <sz val="8"/>
            <color indexed="81"/>
            <rFont val="Tahoma"/>
            <family val="2"/>
          </rPr>
          <t xml:space="preserve"> 
5.5 </t>
        </r>
        <r>
          <rPr>
            <sz val="8"/>
            <color indexed="81"/>
            <rFont val="Tahoma"/>
            <family val="2"/>
          </rPr>
          <t xml:space="preserve">and </t>
        </r>
        <r>
          <rPr>
            <b/>
            <sz val="8"/>
            <color indexed="81"/>
            <rFont val="Tahoma"/>
            <family val="2"/>
          </rPr>
          <t xml:space="preserve">6.0
</t>
        </r>
        <r>
          <rPr>
            <sz val="8"/>
            <color indexed="81"/>
            <rFont val="Tahoma"/>
            <family val="2"/>
          </rPr>
          <t xml:space="preserve">
Use the </t>
        </r>
        <r>
          <rPr>
            <b/>
            <sz val="8"/>
            <color indexed="81"/>
            <rFont val="Tahoma"/>
            <family val="2"/>
          </rPr>
          <t>Final Water Alkalinity</t>
        </r>
        <r>
          <rPr>
            <sz val="8"/>
            <color indexed="81"/>
            <rFont val="Tahoma"/>
            <family val="2"/>
          </rPr>
          <t xml:space="preserve"> result below to assess if the 
</t>
        </r>
        <r>
          <rPr>
            <b/>
            <sz val="8"/>
            <color indexed="81"/>
            <rFont val="Tahoma"/>
            <family val="2"/>
          </rPr>
          <t>Desired Water pH</t>
        </r>
        <r>
          <rPr>
            <sz val="8"/>
            <color indexed="81"/>
            <rFont val="Tahoma"/>
            <family val="2"/>
          </rPr>
          <t xml:space="preserve"> should be increased or decreased from 
the input value.  </t>
        </r>
        <r>
          <rPr>
            <b/>
            <sz val="8"/>
            <color indexed="81"/>
            <rFont val="Tahoma"/>
            <family val="2"/>
          </rPr>
          <t>Final Water Alkalinity</t>
        </r>
        <r>
          <rPr>
            <sz val="8"/>
            <color indexed="81"/>
            <rFont val="Tahoma"/>
            <family val="2"/>
          </rPr>
          <t xml:space="preserve"> of less than 50 ppm 
is suggested for best results.  If the </t>
        </r>
        <r>
          <rPr>
            <b/>
            <sz val="8"/>
            <color indexed="81"/>
            <rFont val="Tahoma"/>
            <family val="2"/>
          </rPr>
          <t>Starting Water Alkalinity</t>
        </r>
        <r>
          <rPr>
            <sz val="8"/>
            <color indexed="81"/>
            <rFont val="Tahoma"/>
            <family val="2"/>
          </rPr>
          <t xml:space="preserve"> 
is less than 25 ppm, acidification is not needed.
</t>
        </r>
      </text>
    </comment>
    <comment ref="B12" authorId="1" shapeId="0" xr:uid="{00000000-0006-0000-0200-00000A000000}">
      <text>
        <r>
          <rPr>
            <sz val="8"/>
            <color indexed="81"/>
            <rFont val="Tahoma"/>
            <family val="2"/>
          </rPr>
          <t xml:space="preserve">Enter water volume to be treated.  </t>
        </r>
        <r>
          <rPr>
            <b/>
            <sz val="8"/>
            <color indexed="81"/>
            <rFont val="Tahoma"/>
            <family val="2"/>
          </rPr>
          <t>(usually 1.0)</t>
        </r>
        <r>
          <rPr>
            <sz val="8"/>
            <color indexed="81"/>
            <rFont val="Tahoma"/>
            <family val="2"/>
          </rPr>
          <t xml:space="preserve">
If the volume is entered as </t>
        </r>
        <r>
          <rPr>
            <b/>
            <sz val="8"/>
            <color indexed="81"/>
            <rFont val="Tahoma"/>
            <family val="2"/>
          </rPr>
          <t>1 (liter, gallon, barrel, 
or hectoliter)</t>
        </r>
        <r>
          <rPr>
            <sz val="8"/>
            <color indexed="81"/>
            <rFont val="Tahoma"/>
            <family val="2"/>
          </rPr>
          <t xml:space="preserve"> here, the amount of acid for sparge water 
adjustment calculated below will be automatically 
multiplied by the number of liters, gallons, barrels, or 
hectoliters of sparge water entered on the </t>
        </r>
        <r>
          <rPr>
            <b/>
            <sz val="8"/>
            <color indexed="81"/>
            <rFont val="Tahoma"/>
            <family val="2"/>
          </rPr>
          <t xml:space="preserve">Water 
Adjustment </t>
        </r>
        <r>
          <rPr>
            <sz val="8"/>
            <color indexed="81"/>
            <rFont val="Tahoma"/>
            <family val="2"/>
          </rPr>
          <t xml:space="preserve">sheet and the resulting acid amount will 
be shown on the </t>
        </r>
        <r>
          <rPr>
            <b/>
            <sz val="8"/>
            <color indexed="81"/>
            <rFont val="Tahoma"/>
            <family val="2"/>
          </rPr>
          <t xml:space="preserve">Adjustment Summary </t>
        </r>
        <r>
          <rPr>
            <sz val="8"/>
            <color indexed="81"/>
            <rFont val="Tahoma"/>
            <family val="2"/>
          </rPr>
          <t xml:space="preserve">sheet.
This cell turns </t>
        </r>
        <r>
          <rPr>
            <b/>
            <sz val="8"/>
            <color indexed="12"/>
            <rFont val="Tahoma"/>
            <family val="2"/>
          </rPr>
          <t>DARKER BLUE</t>
        </r>
        <r>
          <rPr>
            <sz val="8"/>
            <color indexed="81"/>
            <rFont val="Tahoma"/>
            <family val="2"/>
          </rPr>
          <t xml:space="preserve"> if a value other than 1 
is entered to alert the User that this helpful feature was 
overriden by the User.
</t>
        </r>
      </text>
    </comment>
    <comment ref="A13" authorId="0" shapeId="0" xr:uid="{00000000-0006-0000-0200-00000B000000}">
      <text>
        <r>
          <rPr>
            <sz val="8"/>
            <color indexed="81"/>
            <rFont val="Tahoma"/>
            <family val="2"/>
          </rPr>
          <t xml:space="preserve">Enter the type and strength of acid used in the brewing.  
This acid will be utilized for sparging water adjustments.  
Separate acid selections are also shown on the </t>
        </r>
        <r>
          <rPr>
            <b/>
            <sz val="8"/>
            <color indexed="81"/>
            <rFont val="Tahoma"/>
            <family val="2"/>
          </rPr>
          <t>Water 
Adjustment</t>
        </r>
        <r>
          <rPr>
            <sz val="8"/>
            <color indexed="81"/>
            <rFont val="Tahoma"/>
            <family val="2"/>
          </rPr>
          <t xml:space="preserve"> sheet for mashing water. All acids are 
shown on the </t>
        </r>
        <r>
          <rPr>
            <b/>
            <sz val="8"/>
            <color indexed="81"/>
            <rFont val="Tahoma"/>
            <family val="2"/>
          </rPr>
          <t xml:space="preserve">Adjustment Summary </t>
        </r>
        <r>
          <rPr>
            <sz val="8"/>
            <color indexed="81"/>
            <rFont val="Tahoma"/>
            <family val="2"/>
          </rPr>
          <t xml:space="preserve">sheet.
Please note that CRS is a commercial product available in 
only one strength.  The strength settings have no effect 
when CRS is selected.
</t>
        </r>
        <r>
          <rPr>
            <b/>
            <sz val="8"/>
            <color indexed="81"/>
            <rFont val="Tahoma"/>
            <family val="2"/>
          </rPr>
          <t xml:space="preserve">Note: </t>
        </r>
        <r>
          <rPr>
            <sz val="8"/>
            <color indexed="81"/>
            <rFont val="Tahoma"/>
            <family val="2"/>
          </rPr>
          <t xml:space="preserve">The program assumes </t>
        </r>
        <r>
          <rPr>
            <b/>
            <sz val="8"/>
            <color indexed="81"/>
            <rFont val="Tahoma"/>
            <family val="2"/>
          </rPr>
          <t>Citric, Malic</t>
        </r>
        <r>
          <rPr>
            <sz val="8"/>
            <color indexed="81"/>
            <rFont val="Tahoma"/>
            <family val="2"/>
          </rPr>
          <t xml:space="preserve">, and </t>
        </r>
        <r>
          <rPr>
            <b/>
            <sz val="8"/>
            <color indexed="81"/>
            <rFont val="Tahoma"/>
            <family val="2"/>
          </rPr>
          <t>Tartaric</t>
        </r>
        <r>
          <rPr>
            <sz val="8"/>
            <color indexed="81"/>
            <rFont val="Tahoma"/>
            <family val="2"/>
          </rPr>
          <t xml:space="preserve"> 
acids are in </t>
        </r>
        <r>
          <rPr>
            <b/>
            <sz val="8"/>
            <color indexed="81"/>
            <rFont val="Tahoma"/>
            <family val="2"/>
          </rPr>
          <t>Solid</t>
        </r>
        <r>
          <rPr>
            <sz val="8"/>
            <color indexed="81"/>
            <rFont val="Tahoma"/>
            <family val="2"/>
          </rPr>
          <t xml:space="preserve"> form. Liquid forms of these acids 
</t>
        </r>
        <r>
          <rPr>
            <b/>
            <sz val="8"/>
            <color indexed="81"/>
            <rFont val="Tahoma"/>
            <family val="2"/>
          </rPr>
          <t>CANNOT</t>
        </r>
        <r>
          <rPr>
            <sz val="8"/>
            <color indexed="81"/>
            <rFont val="Tahoma"/>
            <family val="2"/>
          </rPr>
          <t xml:space="preserve"> be calculated with this program.
This cell may be blank if the Second Acid Percentage is set 
to 100.
</t>
        </r>
      </text>
    </comment>
    <comment ref="B13" authorId="1" shapeId="0" xr:uid="{00000000-0006-0000-0200-00000C000000}">
      <text>
        <r>
          <rPr>
            <sz val="8"/>
            <color indexed="81"/>
            <rFont val="Tahoma"/>
            <family val="2"/>
          </rPr>
          <t>Click cell to display drop-down selection of acids.</t>
        </r>
        <r>
          <rPr>
            <sz val="9"/>
            <color indexed="81"/>
            <rFont val="Tahoma"/>
            <family val="2"/>
          </rPr>
          <t xml:space="preserve">
</t>
        </r>
      </text>
    </comment>
    <comment ref="B14" authorId="1" shapeId="0" xr:uid="{00000000-0006-0000-0200-00000D000000}">
      <text>
        <r>
          <rPr>
            <b/>
            <sz val="8"/>
            <color indexed="81"/>
            <rFont val="Tahoma"/>
            <family val="2"/>
          </rPr>
          <t>FOR LIQUID ACIDS ONLY:</t>
        </r>
        <r>
          <rPr>
            <sz val="8"/>
            <color indexed="81"/>
            <rFont val="Tahoma"/>
            <family val="2"/>
          </rPr>
          <t xml:space="preserve">
Enter acid Percentage (%) in whole terms. 
For example, enter 88 for 88% Lactic, not 0.88
Enter acid Normality (N) or Molarity (M) as 
indicated on acid container. 
Adjust the strength units in the adjacent 
drop-down box.
</t>
        </r>
        <r>
          <rPr>
            <b/>
            <sz val="8"/>
            <color indexed="81"/>
            <rFont val="Tahoma"/>
            <family val="2"/>
          </rPr>
          <t xml:space="preserve">FOR SOLID ACIDS: </t>
        </r>
        <r>
          <rPr>
            <sz val="8"/>
            <color indexed="81"/>
            <rFont val="Tahoma"/>
            <family val="2"/>
          </rPr>
          <t xml:space="preserve">
Be sure the select "</t>
        </r>
        <r>
          <rPr>
            <b/>
            <sz val="8"/>
            <color indexed="81"/>
            <rFont val="Tahoma"/>
            <family val="2"/>
          </rPr>
          <t>Solid</t>
        </r>
        <r>
          <rPr>
            <sz val="8"/>
            <color indexed="81"/>
            <rFont val="Tahoma"/>
            <family val="2"/>
          </rPr>
          <t xml:space="preserve">" in the adjacent 
drop-down box.
The </t>
        </r>
        <r>
          <rPr>
            <b/>
            <sz val="8"/>
            <color indexed="81"/>
            <rFont val="Tahoma"/>
            <family val="2"/>
          </rPr>
          <t>Acid Strength</t>
        </r>
        <r>
          <rPr>
            <sz val="8"/>
            <color indexed="81"/>
            <rFont val="Tahoma"/>
            <family val="2"/>
          </rPr>
          <t xml:space="preserve"> value is not used for 
solid acids and the value in the Acid Strength 
box can be any value or be blank.  
</t>
        </r>
      </text>
    </comment>
    <comment ref="C14" authorId="1" shapeId="0" xr:uid="{00000000-0006-0000-0200-00000E000000}">
      <text>
        <r>
          <rPr>
            <sz val="8"/>
            <color indexed="81"/>
            <rFont val="Tahoma"/>
            <family val="2"/>
          </rPr>
          <t>Click cell to display drop-down selection of 
acid strength parameters: percentage, normality, 
molarity, or solid.</t>
        </r>
        <r>
          <rPr>
            <sz val="9"/>
            <color indexed="81"/>
            <rFont val="Tahoma"/>
            <family val="2"/>
          </rPr>
          <t xml:space="preserve">
</t>
        </r>
      </text>
    </comment>
    <comment ref="A15" authorId="0" shapeId="0" xr:uid="{00000000-0006-0000-0200-00000F000000}">
      <text>
        <r>
          <rPr>
            <sz val="8"/>
            <color indexed="81"/>
            <rFont val="Tahoma"/>
            <family val="2"/>
          </rPr>
          <t>To use 2 acids for sparging water, select the 
percentage of the</t>
        </r>
        <r>
          <rPr>
            <b/>
            <sz val="8"/>
            <color indexed="81"/>
            <rFont val="Tahoma"/>
            <family val="2"/>
          </rPr>
          <t xml:space="preserve"> 2nd acid</t>
        </r>
        <r>
          <rPr>
            <sz val="8"/>
            <color indexed="81"/>
            <rFont val="Tahoma"/>
            <family val="2"/>
          </rPr>
          <t xml:space="preserve"> you want to use. 
The heading cells are </t>
        </r>
        <r>
          <rPr>
            <b/>
            <sz val="8"/>
            <color indexed="81"/>
            <rFont val="Tahoma"/>
            <family val="2"/>
          </rPr>
          <t>Blank</t>
        </r>
        <r>
          <rPr>
            <sz val="8"/>
            <color indexed="81"/>
            <rFont val="Tahoma"/>
            <family val="2"/>
          </rPr>
          <t xml:space="preserve"> when either 0 or 100 
percent are input to signal that either acid is NOT 
used. </t>
        </r>
        <r>
          <rPr>
            <sz val="9"/>
            <color indexed="81"/>
            <rFont val="Tahoma"/>
            <family val="2"/>
          </rPr>
          <t xml:space="preserve">
</t>
        </r>
      </text>
    </comment>
    <comment ref="B15" authorId="0" shapeId="0" xr:uid="{00000000-0006-0000-0200-000010000000}">
      <text>
        <r>
          <rPr>
            <sz val="8"/>
            <color indexed="81"/>
            <rFont val="Tahoma"/>
            <family val="2"/>
          </rPr>
          <t xml:space="preserve">Leave this setting at </t>
        </r>
        <r>
          <rPr>
            <b/>
            <sz val="8"/>
            <color indexed="81"/>
            <rFont val="Tahoma"/>
            <family val="2"/>
          </rPr>
          <t xml:space="preserve">Zero </t>
        </r>
        <r>
          <rPr>
            <sz val="8"/>
            <color indexed="81"/>
            <rFont val="Tahoma"/>
            <family val="2"/>
          </rPr>
          <t xml:space="preserve">when using 
only one acid in brewing.
</t>
        </r>
      </text>
    </comment>
    <comment ref="A16" authorId="0" shapeId="0" xr:uid="{00000000-0006-0000-0200-000011000000}">
      <text>
        <r>
          <rPr>
            <sz val="8"/>
            <color indexed="81"/>
            <rFont val="Tahoma"/>
            <family val="2"/>
          </rPr>
          <t xml:space="preserve">Enter the type and strength of acid used in the brewing.  
This acid will be utilized for sparging water adjustments.  
Separate acid selections are also shown on the 
</t>
        </r>
        <r>
          <rPr>
            <b/>
            <sz val="8"/>
            <color indexed="81"/>
            <rFont val="Tahoma"/>
            <family val="2"/>
          </rPr>
          <t xml:space="preserve">Water Adjustment </t>
        </r>
        <r>
          <rPr>
            <sz val="8"/>
            <color indexed="81"/>
            <rFont val="Tahoma"/>
            <family val="2"/>
          </rPr>
          <t xml:space="preserve">sheet for mashing water. All acids 
are shown on the </t>
        </r>
        <r>
          <rPr>
            <b/>
            <sz val="8"/>
            <color indexed="81"/>
            <rFont val="Tahoma"/>
            <family val="2"/>
          </rPr>
          <t>Adjustment Summary</t>
        </r>
        <r>
          <rPr>
            <sz val="8"/>
            <color indexed="81"/>
            <rFont val="Tahoma"/>
            <family val="2"/>
          </rPr>
          <t xml:space="preserve"> sheet.
Please note that CRS is a commercial product available in 
only one strength.  The strength settings have no effect 
when CRS is selected.
</t>
        </r>
        <r>
          <rPr>
            <b/>
            <sz val="8"/>
            <color indexed="81"/>
            <rFont val="Tahoma"/>
            <family val="2"/>
          </rPr>
          <t>Note:</t>
        </r>
        <r>
          <rPr>
            <sz val="8"/>
            <color indexed="81"/>
            <rFont val="Tahoma"/>
            <family val="2"/>
          </rPr>
          <t xml:space="preserve"> The program assumes</t>
        </r>
        <r>
          <rPr>
            <b/>
            <sz val="8"/>
            <color indexed="81"/>
            <rFont val="Tahoma"/>
            <family val="2"/>
          </rPr>
          <t xml:space="preserve"> Citric, Malic,</t>
        </r>
        <r>
          <rPr>
            <sz val="8"/>
            <color indexed="81"/>
            <rFont val="Tahoma"/>
            <family val="2"/>
          </rPr>
          <t xml:space="preserve"> and </t>
        </r>
        <r>
          <rPr>
            <b/>
            <sz val="8"/>
            <color indexed="81"/>
            <rFont val="Tahoma"/>
            <family val="2"/>
          </rPr>
          <t>Tartaric</t>
        </r>
        <r>
          <rPr>
            <sz val="8"/>
            <color indexed="81"/>
            <rFont val="Tahoma"/>
            <family val="2"/>
          </rPr>
          <t xml:space="preserve"> 
acids are in </t>
        </r>
        <r>
          <rPr>
            <b/>
            <sz val="8"/>
            <color indexed="81"/>
            <rFont val="Tahoma"/>
            <family val="2"/>
          </rPr>
          <t>Solid</t>
        </r>
        <r>
          <rPr>
            <sz val="8"/>
            <color indexed="81"/>
            <rFont val="Tahoma"/>
            <family val="2"/>
          </rPr>
          <t xml:space="preserve"> form. Liquid forms of these acids 
</t>
        </r>
        <r>
          <rPr>
            <b/>
            <sz val="8"/>
            <color indexed="81"/>
            <rFont val="Tahoma"/>
            <family val="2"/>
          </rPr>
          <t>CANNOT</t>
        </r>
        <r>
          <rPr>
            <sz val="8"/>
            <color indexed="81"/>
            <rFont val="Tahoma"/>
            <family val="2"/>
          </rPr>
          <t xml:space="preserve"> be calculated with this program.
This cell may be blank if the Second Acid Percentage is set 
to 0.
</t>
        </r>
      </text>
    </comment>
    <comment ref="B16" authorId="1" shapeId="0" xr:uid="{00000000-0006-0000-0200-000012000000}">
      <text>
        <r>
          <rPr>
            <sz val="8"/>
            <color indexed="81"/>
            <rFont val="Tahoma"/>
            <family val="2"/>
          </rPr>
          <t>Click cell to display drop-down selection of acids.</t>
        </r>
        <r>
          <rPr>
            <sz val="9"/>
            <color indexed="81"/>
            <rFont val="Tahoma"/>
            <family val="2"/>
          </rPr>
          <t xml:space="preserve">
</t>
        </r>
      </text>
    </comment>
    <comment ref="B17" authorId="1" shapeId="0" xr:uid="{00000000-0006-0000-0200-000013000000}">
      <text>
        <r>
          <rPr>
            <b/>
            <sz val="8"/>
            <color indexed="81"/>
            <rFont val="Tahoma"/>
            <family val="2"/>
          </rPr>
          <t>FOR LIQUID ACIDS ONLY:</t>
        </r>
        <r>
          <rPr>
            <sz val="8"/>
            <color indexed="81"/>
            <rFont val="Tahoma"/>
            <family val="2"/>
          </rPr>
          <t xml:space="preserve">
Enter acid Percentage (%) in whole terms. 
For example, enter 88 for 88% Lactic, not 0.88
Enter acid Normality (N) or Molarity (M) as 
indicated on acid container. 
Adjust the strength units in the adjacent 
drop-down box.
</t>
        </r>
        <r>
          <rPr>
            <b/>
            <sz val="8"/>
            <color indexed="81"/>
            <rFont val="Tahoma"/>
            <family val="2"/>
          </rPr>
          <t xml:space="preserve">FOR SOLID ACIDS: </t>
        </r>
        <r>
          <rPr>
            <sz val="8"/>
            <color indexed="81"/>
            <rFont val="Tahoma"/>
            <family val="2"/>
          </rPr>
          <t xml:space="preserve">
Be sure the select "</t>
        </r>
        <r>
          <rPr>
            <b/>
            <sz val="8"/>
            <color indexed="81"/>
            <rFont val="Tahoma"/>
            <family val="2"/>
          </rPr>
          <t>Solid</t>
        </r>
        <r>
          <rPr>
            <sz val="8"/>
            <color indexed="81"/>
            <rFont val="Tahoma"/>
            <family val="2"/>
          </rPr>
          <t xml:space="preserve">" in the adjacent 
drop-down box.
The </t>
        </r>
        <r>
          <rPr>
            <b/>
            <sz val="8"/>
            <color indexed="81"/>
            <rFont val="Tahoma"/>
            <family val="2"/>
          </rPr>
          <t>Acid Strength</t>
        </r>
        <r>
          <rPr>
            <sz val="8"/>
            <color indexed="81"/>
            <rFont val="Tahoma"/>
            <family val="2"/>
          </rPr>
          <t xml:space="preserve"> value is not used for 
solid acids and the value in the Acid Strength 
box can be any value or be blank.  
</t>
        </r>
      </text>
    </comment>
    <comment ref="C17" authorId="1" shapeId="0" xr:uid="{00000000-0006-0000-0200-000014000000}">
      <text>
        <r>
          <rPr>
            <sz val="8"/>
            <color indexed="81"/>
            <rFont val="Tahoma"/>
            <family val="2"/>
          </rPr>
          <t>Click cell to display drop-down selection of 
acid strength parameters: percentage, normality, 
molarity, or solid.</t>
        </r>
        <r>
          <rPr>
            <sz val="9"/>
            <color indexed="81"/>
            <rFont val="Tahoma"/>
            <family val="2"/>
          </rPr>
          <t xml:space="preserve">
</t>
        </r>
      </text>
    </comment>
    <comment ref="B19" authorId="0" shapeId="0" xr:uid="{00000000-0006-0000-0200-000015000000}">
      <text>
        <r>
          <rPr>
            <sz val="8"/>
            <color indexed="81"/>
            <rFont val="Tahoma"/>
            <family val="2"/>
          </rPr>
          <t xml:space="preserve">A Final Alkalinity of about 25 ppm or less is desirable, 
but not required.  A Final Alkalinity of less than 50 ppm 
is strongly recommended.  Adjust the </t>
        </r>
        <r>
          <rPr>
            <b/>
            <sz val="8"/>
            <color indexed="81"/>
            <rFont val="Tahoma"/>
            <family val="2"/>
          </rPr>
          <t>Desired Water pH</t>
        </r>
        <r>
          <rPr>
            <sz val="8"/>
            <color indexed="81"/>
            <rFont val="Tahoma"/>
            <family val="2"/>
          </rPr>
          <t xml:space="preserve"> 
value to alter the </t>
        </r>
        <r>
          <rPr>
            <b/>
            <sz val="8"/>
            <color indexed="81"/>
            <rFont val="Tahoma"/>
            <family val="2"/>
          </rPr>
          <t>Final Water Alkalinity</t>
        </r>
        <r>
          <rPr>
            <sz val="8"/>
            <color indexed="81"/>
            <rFont val="Tahoma"/>
            <family val="2"/>
          </rPr>
          <t xml:space="preserve">.
If a check of acidification is desired, compare the measured 
water pH to the </t>
        </r>
        <r>
          <rPr>
            <b/>
            <sz val="8"/>
            <color indexed="81"/>
            <rFont val="Tahoma"/>
            <family val="2"/>
          </rPr>
          <t>Desired Water pH</t>
        </r>
        <r>
          <rPr>
            <sz val="8"/>
            <color indexed="81"/>
            <rFont val="Tahoma"/>
            <family val="2"/>
          </rPr>
          <t xml:space="preserve"> value.
This cell turns </t>
        </r>
        <r>
          <rPr>
            <b/>
            <sz val="8"/>
            <color indexed="53"/>
            <rFont val="Tahoma"/>
            <family val="2"/>
          </rPr>
          <t>Orange</t>
        </r>
        <r>
          <rPr>
            <sz val="8"/>
            <color indexed="81"/>
            <rFont val="Tahoma"/>
            <family val="2"/>
          </rPr>
          <t xml:space="preserve"> if the alkalinity is greater than 50 
and the Brewer should further reduce the Desired pH value.  
This cell turns </t>
        </r>
        <r>
          <rPr>
            <b/>
            <sz val="8"/>
            <color indexed="17"/>
            <rFont val="Tahoma"/>
            <family val="2"/>
          </rPr>
          <t>Green</t>
        </r>
        <r>
          <rPr>
            <sz val="8"/>
            <color indexed="81"/>
            <rFont val="Tahoma"/>
            <family val="2"/>
          </rPr>
          <t xml:space="preserve"> if the alkalinity is less than 25 which 
means that no additional acidification is needed.
</t>
        </r>
      </text>
    </comment>
    <comment ref="B20" authorId="0" shapeId="0" xr:uid="{00000000-0006-0000-0200-000016000000}">
      <text>
        <r>
          <rPr>
            <sz val="8"/>
            <color indexed="81"/>
            <rFont val="Tahoma"/>
            <family val="2"/>
          </rPr>
          <t xml:space="preserve">Add this quantity of the first acid to the water volume 
indicated above.
Both the </t>
        </r>
        <r>
          <rPr>
            <b/>
            <sz val="8"/>
            <color indexed="81"/>
            <rFont val="Tahoma"/>
            <family val="2"/>
          </rPr>
          <t>Water Adjustment</t>
        </r>
        <r>
          <rPr>
            <sz val="8"/>
            <color indexed="81"/>
            <rFont val="Tahoma"/>
            <family val="2"/>
          </rPr>
          <t xml:space="preserve"> and </t>
        </r>
        <r>
          <rPr>
            <b/>
            <sz val="8"/>
            <color indexed="81"/>
            <rFont val="Tahoma"/>
            <family val="2"/>
          </rPr>
          <t>Adjustment Summary</t>
        </r>
        <r>
          <rPr>
            <sz val="8"/>
            <color indexed="81"/>
            <rFont val="Tahoma"/>
            <family val="2"/>
          </rPr>
          <t xml:space="preserve"> 
sheets present the total amount of acid to add to the quantity 
of sparging water entered on the </t>
        </r>
        <r>
          <rPr>
            <b/>
            <sz val="8"/>
            <color indexed="81"/>
            <rFont val="Tahoma"/>
            <family val="2"/>
          </rPr>
          <t>Water Adjustment</t>
        </r>
        <r>
          <rPr>
            <sz val="8"/>
            <color indexed="81"/>
            <rFont val="Tahoma"/>
            <family val="2"/>
          </rPr>
          <t xml:space="preserve"> sheet.
</t>
        </r>
      </text>
    </comment>
    <comment ref="D20" authorId="0" shapeId="0" xr:uid="{00000000-0006-0000-0200-000017000000}">
      <text>
        <r>
          <rPr>
            <sz val="8"/>
            <color indexed="81"/>
            <rFont val="Tahoma"/>
            <family val="2"/>
          </rPr>
          <t xml:space="preserve">This alternate measure is provided for the acid addition.
</t>
        </r>
      </text>
    </comment>
    <comment ref="B21" authorId="0" shapeId="0" xr:uid="{00000000-0006-0000-0200-000018000000}">
      <text>
        <r>
          <rPr>
            <sz val="8"/>
            <color indexed="81"/>
            <rFont val="Tahoma"/>
            <family val="2"/>
          </rPr>
          <t xml:space="preserve">Add this quantity of the second acid to the water volume 
indicated above.
Both the </t>
        </r>
        <r>
          <rPr>
            <b/>
            <sz val="8"/>
            <color indexed="81"/>
            <rFont val="Tahoma"/>
            <family val="2"/>
          </rPr>
          <t>Water Adjustment</t>
        </r>
        <r>
          <rPr>
            <sz val="8"/>
            <color indexed="81"/>
            <rFont val="Tahoma"/>
            <family val="2"/>
          </rPr>
          <t xml:space="preserve"> and </t>
        </r>
        <r>
          <rPr>
            <b/>
            <sz val="8"/>
            <color indexed="81"/>
            <rFont val="Tahoma"/>
            <family val="2"/>
          </rPr>
          <t xml:space="preserve">Adjustment Summary 
</t>
        </r>
        <r>
          <rPr>
            <sz val="8"/>
            <color indexed="81"/>
            <rFont val="Tahoma"/>
            <family val="2"/>
          </rPr>
          <t xml:space="preserve">sheets present the total amount of acid to add to the quantity 
of sparging water entered on the </t>
        </r>
        <r>
          <rPr>
            <b/>
            <sz val="8"/>
            <color indexed="81"/>
            <rFont val="Tahoma"/>
            <family val="2"/>
          </rPr>
          <t xml:space="preserve">Water Adjustment </t>
        </r>
        <r>
          <rPr>
            <sz val="8"/>
            <color indexed="81"/>
            <rFont val="Tahoma"/>
            <family val="2"/>
          </rPr>
          <t xml:space="preserve">sheet.
</t>
        </r>
      </text>
    </comment>
    <comment ref="D21" authorId="0" shapeId="0" xr:uid="{00000000-0006-0000-0200-000019000000}">
      <text>
        <r>
          <rPr>
            <sz val="8"/>
            <color indexed="81"/>
            <rFont val="Tahoma"/>
            <family val="2"/>
          </rPr>
          <t xml:space="preserve">This alternate measure is provided for the acid addition.
</t>
        </r>
      </text>
    </comment>
    <comment ref="B22" authorId="0" shapeId="0" xr:uid="{00000000-0006-0000-0200-00001A000000}">
      <text>
        <r>
          <rPr>
            <sz val="8"/>
            <color indexed="81"/>
            <rFont val="Tahoma"/>
            <family val="2"/>
          </rPr>
          <t xml:space="preserve">Indicates the sulfate concentration added to the 
water by a Sulfuric acid or CRS addition.  This 
result is zero for all other acids.
</t>
        </r>
      </text>
    </comment>
    <comment ref="B23" authorId="0" shapeId="0" xr:uid="{00000000-0006-0000-0200-00001B000000}">
      <text>
        <r>
          <rPr>
            <sz val="8"/>
            <color indexed="81"/>
            <rFont val="Tahoma"/>
            <family val="2"/>
          </rPr>
          <t xml:space="preserve">Indicates the chloride concentration added to the 
water by a Hydrochloric acid or CRS addition.  
This result is zero for all other acid additions.
</t>
        </r>
      </text>
    </comment>
    <comment ref="B24" authorId="0" shapeId="0" xr:uid="{00000000-0006-0000-0200-00001C000000}">
      <text>
        <r>
          <rPr>
            <sz val="8"/>
            <color indexed="81"/>
            <rFont val="Tahoma"/>
            <family val="2"/>
          </rPr>
          <t xml:space="preserve">This is the anion concentration for acids other than hydrochloric, 
sulfuric, and CRS in the acidified water. This concentration may 
be useful in assessing if the anion is above it's taste threshold.
Be aware that the sum of the acids in the final wort influence if an 
anion is tasted in the beer. Don't worry too much if an acid is 
above the threshold here.  Check the </t>
        </r>
        <r>
          <rPr>
            <b/>
            <sz val="8"/>
            <color indexed="81"/>
            <rFont val="Tahoma"/>
            <family val="2"/>
          </rPr>
          <t>Adjustment Summary</t>
        </r>
        <r>
          <rPr>
            <sz val="8"/>
            <color indexed="81"/>
            <rFont val="Tahoma"/>
            <family val="2"/>
          </rPr>
          <t xml:space="preserve"> 
sheet to review the final anion concentration in the kettle.
This cell can be blank.
</t>
        </r>
      </text>
    </comment>
    <comment ref="B25" authorId="0" shapeId="0" xr:uid="{00000000-0006-0000-0200-00001D000000}">
      <text>
        <r>
          <rPr>
            <sz val="8"/>
            <color indexed="81"/>
            <rFont val="Tahoma"/>
            <family val="2"/>
          </rPr>
          <t xml:space="preserve">This is the anion concentration for acids other than hydrochloric, 
sulfuric, and CRS in the acidified water.This concentration may be 
useful in assessing if the anion is above it's taste threshold.
Be aware that the sum of the acids in the final wort influence if an 
anion is tasted in the beer. Don't worry too much if an acid is 
above the threshold here. Check the </t>
        </r>
        <r>
          <rPr>
            <b/>
            <sz val="8"/>
            <color indexed="81"/>
            <rFont val="Tahoma"/>
            <family val="2"/>
          </rPr>
          <t>Adjustment Summary</t>
        </r>
        <r>
          <rPr>
            <sz val="8"/>
            <color indexed="81"/>
            <rFont val="Tahoma"/>
            <family val="2"/>
          </rPr>
          <t xml:space="preserve"> 
sheet to review the final anion concentration in the kettle.
This cell can be blank.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martin.brungard</author>
    <author>Martin Brungard</author>
  </authors>
  <commentList>
    <comment ref="B2" authorId="0" shapeId="0" xr:uid="{00000000-0006-0000-0300-000001000000}">
      <text>
        <r>
          <rPr>
            <sz val="9"/>
            <color indexed="81"/>
            <rFont val="Tahoma"/>
            <family val="2"/>
          </rPr>
          <t xml:space="preserve">Beer or Batch Name is entered here and it shows on </t>
        </r>
        <r>
          <rPr>
            <b/>
            <sz val="9"/>
            <color indexed="81"/>
            <rFont val="Tahoma"/>
            <family val="2"/>
          </rPr>
          <t>Water Adjustment</t>
        </r>
        <r>
          <rPr>
            <sz val="9"/>
            <color indexed="81"/>
            <rFont val="Tahoma"/>
            <family val="2"/>
          </rPr>
          <t xml:space="preserve"> and </t>
        </r>
        <r>
          <rPr>
            <b/>
            <sz val="9"/>
            <color indexed="81"/>
            <rFont val="Tahoma"/>
            <family val="2"/>
          </rPr>
          <t>Adjustment Summary</t>
        </r>
        <r>
          <rPr>
            <sz val="9"/>
            <color indexed="81"/>
            <rFont val="Tahoma"/>
            <family val="2"/>
          </rPr>
          <t xml:space="preserve"> sheets.
Be sure to update the batch name if the data will be saved. </t>
        </r>
        <r>
          <rPr>
            <b/>
            <sz val="9"/>
            <color indexed="81"/>
            <rFont val="Tahoma"/>
            <family val="2"/>
          </rPr>
          <t>A unique name is required each time you save</t>
        </r>
        <r>
          <rPr>
            <sz val="9"/>
            <color indexed="81"/>
            <rFont val="Tahoma"/>
            <family val="2"/>
          </rPr>
          <t xml:space="preserve"> to assure that you can properly retrieve the saved data.</t>
        </r>
      </text>
    </comment>
    <comment ref="A5" authorId="0" shapeId="0" xr:uid="{00000000-0006-0000-0300-000002000000}">
      <text>
        <r>
          <rPr>
            <sz val="8"/>
            <color indexed="81"/>
            <rFont val="Tahoma"/>
            <family val="2"/>
          </rPr>
          <t>List mash grist grain components in lbs and/or oz or kg and/or g.  Include the Color rating.
The Brewer may enter grain names in the table as they choose.
The cell colors change to signify the malt type setting (base, wheat/oat, crystal, roast, or acid)</t>
        </r>
      </text>
    </comment>
    <comment ref="B5" authorId="0" shapeId="0" xr:uid="{00000000-0006-0000-0300-000003000000}">
      <text>
        <r>
          <rPr>
            <b/>
            <sz val="8"/>
            <color indexed="81"/>
            <rFont val="Tahoma"/>
            <family val="2"/>
          </rPr>
          <t xml:space="preserve">Click </t>
        </r>
        <r>
          <rPr>
            <sz val="8"/>
            <color indexed="81"/>
            <rFont val="Tahoma"/>
            <family val="2"/>
          </rPr>
          <t>cells below to display drop-down menu with</t>
        </r>
        <r>
          <rPr>
            <b/>
            <sz val="8"/>
            <color indexed="81"/>
            <rFont val="Tahoma"/>
            <family val="2"/>
          </rPr>
          <t xml:space="preserve"> Base, Wheat/Oat, Crystal, Roast, </t>
        </r>
        <r>
          <rPr>
            <sz val="8"/>
            <color indexed="81"/>
            <rFont val="Tahoma"/>
            <family val="2"/>
          </rPr>
          <t xml:space="preserve">and </t>
        </r>
        <r>
          <rPr>
            <b/>
            <sz val="8"/>
            <color indexed="81"/>
            <rFont val="Tahoma"/>
            <family val="2"/>
          </rPr>
          <t xml:space="preserve">Acid </t>
        </r>
        <r>
          <rPr>
            <sz val="8"/>
            <color indexed="81"/>
            <rFont val="Tahoma"/>
            <family val="2"/>
          </rPr>
          <t>malt selections</t>
        </r>
        <r>
          <rPr>
            <b/>
            <sz val="8"/>
            <color indexed="81"/>
            <rFont val="Tahoma"/>
            <family val="2"/>
          </rPr>
          <t>. 
Base malts</t>
        </r>
        <r>
          <rPr>
            <sz val="8"/>
            <color indexed="81"/>
            <rFont val="Tahoma"/>
            <family val="2"/>
          </rPr>
          <t xml:space="preserve"> include: Pilsner, Lager, 2-row, 6-row, Pale, Munich, Vienna, Mild malts and Flaked Barley.
</t>
        </r>
        <r>
          <rPr>
            <b/>
            <sz val="8"/>
            <color indexed="81"/>
            <rFont val="Tahoma"/>
            <family val="2"/>
          </rPr>
          <t xml:space="preserve">
Wheat/Oat</t>
        </r>
        <r>
          <rPr>
            <sz val="8"/>
            <color indexed="81"/>
            <rFont val="Tahoma"/>
            <family val="2"/>
          </rPr>
          <t xml:space="preserve"> includes any non-Barley malt or grain, including Flaked grains (not Flaked Barley). These materials produce a slightly higher pH than Base Malts. 
</t>
        </r>
        <r>
          <rPr>
            <b/>
            <sz val="8"/>
            <color indexed="81"/>
            <rFont val="Tahoma"/>
            <family val="2"/>
          </rPr>
          <t xml:space="preserve">Crystal malts </t>
        </r>
        <r>
          <rPr>
            <sz val="8"/>
            <color indexed="81"/>
            <rFont val="Tahoma"/>
            <family val="2"/>
          </rPr>
          <t xml:space="preserve">include those with Cara or Crystal prefixes such as Carapils, CaraMunich, or Crystal 60L.  Also includes Aromatic, Biscuit, Special B, Melanoidin, but not Carafa.
</t>
        </r>
        <r>
          <rPr>
            <b/>
            <sz val="8"/>
            <color indexed="81"/>
            <rFont val="Tahoma"/>
            <family val="2"/>
          </rPr>
          <t>Roast</t>
        </r>
        <r>
          <rPr>
            <sz val="8"/>
            <color indexed="81"/>
            <rFont val="Tahoma"/>
            <family val="2"/>
          </rPr>
          <t xml:space="preserve"> includes: Carafa malts, Roast Barley, Chocolate, &amp; Black malts.  </t>
        </r>
        <r>
          <rPr>
            <b/>
            <sz val="8"/>
            <color indexed="81"/>
            <rFont val="Tahoma"/>
            <family val="2"/>
          </rPr>
          <t xml:space="preserve">Roast Malts usually have color greater than 180 lovibond. </t>
        </r>
        <r>
          <rPr>
            <sz val="8"/>
            <color indexed="81"/>
            <rFont val="Tahoma"/>
            <family val="2"/>
          </rPr>
          <t>Although</t>
        </r>
        <r>
          <rPr>
            <b/>
            <sz val="8"/>
            <color indexed="81"/>
            <rFont val="Tahoma"/>
            <family val="2"/>
          </rPr>
          <t xml:space="preserve"> </t>
        </r>
        <r>
          <rPr>
            <sz val="8"/>
            <color indexed="81"/>
            <rFont val="Tahoma"/>
            <family val="2"/>
          </rPr>
          <t xml:space="preserve">Amber Malt from Crisp Malting does not meet the color threshold for roast, it should be entered as a Roast malt.
</t>
        </r>
        <r>
          <rPr>
            <b/>
            <sz val="8"/>
            <color indexed="81"/>
            <rFont val="Tahoma"/>
            <family val="2"/>
          </rPr>
          <t>Acid malt</t>
        </r>
        <r>
          <rPr>
            <sz val="8"/>
            <color indexed="81"/>
            <rFont val="Tahoma"/>
            <family val="2"/>
          </rPr>
          <t xml:space="preserve"> is a specialty malt typically infused with 2 to 3 % Lactic Acid
</t>
        </r>
        <r>
          <rPr>
            <b/>
            <sz val="8"/>
            <color indexed="81"/>
            <rFont val="Tahoma"/>
            <family val="2"/>
          </rPr>
          <t xml:space="preserve">Special Note for Rahr base malts: </t>
        </r>
        <r>
          <rPr>
            <sz val="8"/>
            <color indexed="81"/>
            <rFont val="Tahoma"/>
            <family val="2"/>
          </rPr>
          <t xml:space="preserve">Since these base malts are apparently more acidic than other base malts of similar color, the user may add about 3 L to Rahr base malt color inputs to account for that extra acidity.
</t>
        </r>
        <r>
          <rPr>
            <b/>
            <sz val="8"/>
            <color indexed="81"/>
            <rFont val="Tahoma"/>
            <family val="2"/>
          </rPr>
          <t>Rice Hulls</t>
        </r>
        <r>
          <rPr>
            <sz val="8"/>
            <color indexed="81"/>
            <rFont val="Tahoma"/>
            <family val="2"/>
          </rPr>
          <t xml:space="preserve"> are relatively inert and should not affect the mash pH.  They should not be entered as part of the grist here.</t>
        </r>
      </text>
    </comment>
    <comment ref="C5" authorId="0" shapeId="0" xr:uid="{00000000-0006-0000-0300-000004000000}">
      <text>
        <r>
          <rPr>
            <sz val="8"/>
            <color indexed="81"/>
            <rFont val="Tahoma"/>
            <family val="2"/>
          </rPr>
          <t xml:space="preserve">Grain quantity can be entered as decimal units and/or decimal sub-units.  It all adds up in the end.  Check total grist weight to confirm that it matches your recipe weight. </t>
        </r>
      </text>
    </comment>
    <comment ref="E5" authorId="0" shapeId="0" xr:uid="{00000000-0006-0000-0300-000005000000}">
      <text>
        <r>
          <rPr>
            <sz val="8"/>
            <color indexed="81"/>
            <rFont val="Tahoma"/>
            <family val="2"/>
          </rPr>
          <t xml:space="preserve">Set the </t>
        </r>
        <r>
          <rPr>
            <b/>
            <sz val="8"/>
            <color indexed="81"/>
            <rFont val="Tahoma"/>
            <family val="2"/>
          </rPr>
          <t xml:space="preserve">Malt Color </t>
        </r>
        <r>
          <rPr>
            <sz val="8"/>
            <color indexed="81"/>
            <rFont val="Tahoma"/>
            <family val="2"/>
          </rPr>
          <t>rating system (</t>
        </r>
        <r>
          <rPr>
            <b/>
            <sz val="8"/>
            <color indexed="81"/>
            <rFont val="Tahoma"/>
            <family val="2"/>
          </rPr>
          <t>EBC or Lovibond</t>
        </r>
        <r>
          <rPr>
            <sz val="8"/>
            <color indexed="81"/>
            <rFont val="Tahoma"/>
            <family val="2"/>
          </rPr>
          <t xml:space="preserve">) setting in the drop-down box at the bottom of this sheet.  Enter the Malt Color for each grain.  
The cells below turn </t>
        </r>
        <r>
          <rPr>
            <b/>
            <sz val="8"/>
            <color indexed="10"/>
            <rFont val="Tahoma"/>
            <family val="2"/>
          </rPr>
          <t>Red</t>
        </r>
        <r>
          <rPr>
            <sz val="8"/>
            <color indexed="81"/>
            <rFont val="Tahoma"/>
            <family val="2"/>
          </rPr>
          <t xml:space="preserve"> if the color rating is high and the Grain Type is not set to Roast malt.  The cells turn </t>
        </r>
        <r>
          <rPr>
            <b/>
            <sz val="8"/>
            <color indexed="10"/>
            <rFont val="Tahoma"/>
            <family val="2"/>
          </rPr>
          <t>Red</t>
        </r>
        <r>
          <rPr>
            <sz val="8"/>
            <color indexed="81"/>
            <rFont val="Tahoma"/>
            <family val="2"/>
          </rPr>
          <t xml:space="preserve"> if the color rating is low and Roast Malt is selected.  
Roasted malts typically have color ratings above 400 EBC (150L) and most other grains have less color.</t>
        </r>
      </text>
    </comment>
    <comment ref="F5" authorId="0" shapeId="0" xr:uid="{00000000-0006-0000-0300-000006000000}">
      <text>
        <r>
          <rPr>
            <sz val="8"/>
            <color indexed="81"/>
            <rFont val="Tahoma"/>
            <family val="2"/>
          </rPr>
          <t>This provides a check on the grain quantities entered and the relative amount of each grain.</t>
        </r>
      </text>
    </comment>
    <comment ref="E6" authorId="0" shapeId="0" xr:uid="{00000000-0006-0000-0300-000007000000}">
      <text>
        <r>
          <rPr>
            <sz val="8"/>
            <color indexed="81"/>
            <rFont val="Tahoma"/>
            <family val="2"/>
          </rPr>
          <t xml:space="preserve">This cell turns Red if the color rating is high and the Grain Type is not set to Roast malt.  This cell turns Red if the color rating is low and Roast Malt is selected.
This helps avoid miss-entering grain data.  </t>
        </r>
        <r>
          <rPr>
            <b/>
            <sz val="8"/>
            <color indexed="81"/>
            <rFont val="Tahoma"/>
            <family val="2"/>
          </rPr>
          <t xml:space="preserve">
</t>
        </r>
        <r>
          <rPr>
            <sz val="8"/>
            <color indexed="81"/>
            <rFont val="Tahoma"/>
            <family val="2"/>
          </rPr>
          <t>This cell also changes color based on the grain type selected to help the brewer know what the setting is.</t>
        </r>
      </text>
    </comment>
    <comment ref="E7" authorId="0" shapeId="0" xr:uid="{00000000-0006-0000-0300-000008000000}">
      <text>
        <r>
          <rPr>
            <sz val="8"/>
            <color indexed="81"/>
            <rFont val="Tahoma"/>
            <family val="2"/>
          </rPr>
          <t xml:space="preserve">This cell turns Red if the color rating is high and the Grain Type is not set to Roast malt.  This cell turns Red if the color rating is low and Roast Malt is selected.
This helps avoid miss-entering grain data.  </t>
        </r>
        <r>
          <rPr>
            <b/>
            <sz val="8"/>
            <color indexed="81"/>
            <rFont val="Tahoma"/>
            <family val="2"/>
          </rPr>
          <t xml:space="preserve">
</t>
        </r>
        <r>
          <rPr>
            <sz val="8"/>
            <color indexed="81"/>
            <rFont val="Tahoma"/>
            <family val="2"/>
          </rPr>
          <t>This cell also changes color based on the grain type selected to help the brewer know what the setting is.</t>
        </r>
      </text>
    </comment>
    <comment ref="E8" authorId="0" shapeId="0" xr:uid="{00000000-0006-0000-0300-000009000000}">
      <text>
        <r>
          <rPr>
            <sz val="8"/>
            <color indexed="81"/>
            <rFont val="Tahoma"/>
            <family val="2"/>
          </rPr>
          <t xml:space="preserve">This cell turns Red if the color rating is high and the Grain Type is not set to Roast malt.  This cell turns Red if the color rating is low and Roast Malt is selected.
This helps avoid miss-entering grain data.  </t>
        </r>
        <r>
          <rPr>
            <b/>
            <sz val="8"/>
            <color indexed="81"/>
            <rFont val="Tahoma"/>
            <family val="2"/>
          </rPr>
          <t xml:space="preserve">
</t>
        </r>
        <r>
          <rPr>
            <sz val="8"/>
            <color indexed="81"/>
            <rFont val="Tahoma"/>
            <family val="2"/>
          </rPr>
          <t>This cell also changes color based on the grain type selected to help the brewer know what the setting is.</t>
        </r>
      </text>
    </comment>
    <comment ref="E9" authorId="0" shapeId="0" xr:uid="{00000000-0006-0000-0300-00000A000000}">
      <text>
        <r>
          <rPr>
            <sz val="8"/>
            <color indexed="81"/>
            <rFont val="Tahoma"/>
            <family val="2"/>
          </rPr>
          <t xml:space="preserve">This cell turns Red if the color rating is high and the Grain Type is not set to Roast malt.  This cell turns Red if the color rating is low and Roast Malt is selected.
This helps avoid miss-entering grain data.  </t>
        </r>
        <r>
          <rPr>
            <b/>
            <sz val="8"/>
            <color indexed="81"/>
            <rFont val="Tahoma"/>
            <family val="2"/>
          </rPr>
          <t xml:space="preserve">
</t>
        </r>
        <r>
          <rPr>
            <sz val="8"/>
            <color indexed="81"/>
            <rFont val="Tahoma"/>
            <family val="2"/>
          </rPr>
          <t>This cell also changes color based on the grain type selected to help the brewer know what the setting is.</t>
        </r>
      </text>
    </comment>
    <comment ref="E10" authorId="0" shapeId="0" xr:uid="{00000000-0006-0000-0300-00000B000000}">
      <text>
        <r>
          <rPr>
            <sz val="8"/>
            <color indexed="81"/>
            <rFont val="Tahoma"/>
            <family val="2"/>
          </rPr>
          <t xml:space="preserve">This cell turns Red if the color rating is high and the Grain Type is not set to Roast malt.  This cell turns Red if the color rating is low and Roast Malt is selected.
This helps avoid miss-entering grain data.  </t>
        </r>
        <r>
          <rPr>
            <b/>
            <sz val="8"/>
            <color indexed="81"/>
            <rFont val="Tahoma"/>
            <family val="2"/>
          </rPr>
          <t xml:space="preserve">
</t>
        </r>
        <r>
          <rPr>
            <sz val="8"/>
            <color indexed="81"/>
            <rFont val="Tahoma"/>
            <family val="2"/>
          </rPr>
          <t>This cell also changes color based on the grain type selected to help the brewer know what the setting is.</t>
        </r>
      </text>
    </comment>
    <comment ref="E11" authorId="0" shapeId="0" xr:uid="{00000000-0006-0000-0300-00000C000000}">
      <text>
        <r>
          <rPr>
            <sz val="8"/>
            <color indexed="81"/>
            <rFont val="Tahoma"/>
            <family val="2"/>
          </rPr>
          <t xml:space="preserve">This cell turns Red if the color rating is high and the Grain Type is not set to Roast malt.  This cell turns Red if the color rating is low and Roast Malt is selected.
This helps avoid miss-entering grain data.  </t>
        </r>
        <r>
          <rPr>
            <b/>
            <sz val="8"/>
            <color indexed="81"/>
            <rFont val="Tahoma"/>
            <family val="2"/>
          </rPr>
          <t xml:space="preserve">
</t>
        </r>
        <r>
          <rPr>
            <sz val="8"/>
            <color indexed="81"/>
            <rFont val="Tahoma"/>
            <family val="2"/>
          </rPr>
          <t>This cell also changes color based on the grain type selected to help the brewer know what the setting is.</t>
        </r>
      </text>
    </comment>
    <comment ref="E12" authorId="0" shapeId="0" xr:uid="{00000000-0006-0000-0300-00000D000000}">
      <text>
        <r>
          <rPr>
            <sz val="8"/>
            <color indexed="81"/>
            <rFont val="Tahoma"/>
            <family val="2"/>
          </rPr>
          <t xml:space="preserve">This cell turns Red if the color rating is high and the Grain Type is not set to Roast malt.  This cell turns Red if the color rating is low and Roast Malt is selected.
This helps avoid miss-entering grain data.  </t>
        </r>
        <r>
          <rPr>
            <b/>
            <sz val="8"/>
            <color indexed="81"/>
            <rFont val="Tahoma"/>
            <family val="2"/>
          </rPr>
          <t xml:space="preserve">
</t>
        </r>
        <r>
          <rPr>
            <sz val="8"/>
            <color indexed="81"/>
            <rFont val="Tahoma"/>
            <family val="2"/>
          </rPr>
          <t>This cell also changes color based on the grain type selected to help the brewer know what the setting is.</t>
        </r>
      </text>
    </comment>
    <comment ref="E13" authorId="0" shapeId="0" xr:uid="{00000000-0006-0000-0300-00000E000000}">
      <text>
        <r>
          <rPr>
            <sz val="8"/>
            <color indexed="81"/>
            <rFont val="Tahoma"/>
            <family val="2"/>
          </rPr>
          <t xml:space="preserve">This cell turns Red if the color rating is high and the Grain Type is not set to Roast malt.  This cell turns Red if the color rating is low and Roast Malt is selected.
This helps avoid miss-entering grain data.  </t>
        </r>
        <r>
          <rPr>
            <b/>
            <sz val="8"/>
            <color indexed="81"/>
            <rFont val="Tahoma"/>
            <family val="2"/>
          </rPr>
          <t xml:space="preserve">
</t>
        </r>
        <r>
          <rPr>
            <sz val="8"/>
            <color indexed="81"/>
            <rFont val="Tahoma"/>
            <family val="2"/>
          </rPr>
          <t>This cell also changes color based on the grain type selected to help the brewer know what the setting is.</t>
        </r>
      </text>
    </comment>
    <comment ref="E14" authorId="0" shapeId="0" xr:uid="{00000000-0006-0000-0300-00000F000000}">
      <text>
        <r>
          <rPr>
            <sz val="8"/>
            <color indexed="81"/>
            <rFont val="Tahoma"/>
            <family val="2"/>
          </rPr>
          <t xml:space="preserve">This cell turns Red if the color rating is high and the Grain Type is not set to Roast malt.  This cell turns Red if the color rating is low and Roast Malt is selected.
This helps avoid miss-entering grain data.  </t>
        </r>
        <r>
          <rPr>
            <b/>
            <sz val="8"/>
            <color indexed="81"/>
            <rFont val="Tahoma"/>
            <family val="2"/>
          </rPr>
          <t xml:space="preserve">
</t>
        </r>
        <r>
          <rPr>
            <sz val="8"/>
            <color indexed="81"/>
            <rFont val="Tahoma"/>
            <family val="2"/>
          </rPr>
          <t>This cell also changes color based on the grain type selected to help the brewer know what the setting is.</t>
        </r>
      </text>
    </comment>
    <comment ref="E15" authorId="0" shapeId="0" xr:uid="{00000000-0006-0000-0300-000010000000}">
      <text>
        <r>
          <rPr>
            <sz val="8"/>
            <color indexed="81"/>
            <rFont val="Tahoma"/>
            <family val="2"/>
          </rPr>
          <t xml:space="preserve">This cell turns Red if the color rating is high and the Grain Type is not set to Roast malt.  This cell turns Red if the color rating is low and Roast Malt is selected.
This helps avoid miss-entering grain data.  </t>
        </r>
        <r>
          <rPr>
            <b/>
            <sz val="8"/>
            <color indexed="81"/>
            <rFont val="Tahoma"/>
            <family val="2"/>
          </rPr>
          <t xml:space="preserve">
</t>
        </r>
        <r>
          <rPr>
            <sz val="8"/>
            <color indexed="81"/>
            <rFont val="Tahoma"/>
            <family val="2"/>
          </rPr>
          <t>This cell also changes color based on the grain type selected to help the brewer know what the setting is.</t>
        </r>
      </text>
    </comment>
    <comment ref="E16" authorId="0" shapeId="0" xr:uid="{00000000-0006-0000-0300-000011000000}">
      <text>
        <r>
          <rPr>
            <sz val="8"/>
            <color indexed="81"/>
            <rFont val="Tahoma"/>
            <family val="2"/>
          </rPr>
          <t xml:space="preserve">This cell turns Red if the color rating is high and the Grain Type is not set to Roast malt.  This cell turns Red if the color rating is low and Roast Malt is selected.
This helps avoid miss-entering grain data.  </t>
        </r>
        <r>
          <rPr>
            <b/>
            <sz val="8"/>
            <color indexed="81"/>
            <rFont val="Tahoma"/>
            <family val="2"/>
          </rPr>
          <t xml:space="preserve">
</t>
        </r>
        <r>
          <rPr>
            <sz val="8"/>
            <color indexed="81"/>
            <rFont val="Tahoma"/>
            <family val="2"/>
          </rPr>
          <t>This cell also changes color based on the grain type selected to help the brewer know what the setting is.</t>
        </r>
      </text>
    </comment>
    <comment ref="E17" authorId="0" shapeId="0" xr:uid="{00000000-0006-0000-0300-000012000000}">
      <text>
        <r>
          <rPr>
            <sz val="8"/>
            <color indexed="81"/>
            <rFont val="Tahoma"/>
            <family val="2"/>
          </rPr>
          <t xml:space="preserve">This cell turns Red if the color rating is high and the Grain Type is not set to Roast malt.  This cell turns Red if the color rating is low and Roast Malt is selected.
This helps avoid miss-entering grain data.  </t>
        </r>
        <r>
          <rPr>
            <b/>
            <sz val="8"/>
            <color indexed="81"/>
            <rFont val="Tahoma"/>
            <family val="2"/>
          </rPr>
          <t xml:space="preserve">
</t>
        </r>
        <r>
          <rPr>
            <sz val="8"/>
            <color indexed="81"/>
            <rFont val="Tahoma"/>
            <family val="2"/>
          </rPr>
          <t>This cell also changes color based on the grain type selected to help the brewer know what the setting is.</t>
        </r>
      </text>
    </comment>
    <comment ref="F18" authorId="0" shapeId="0" xr:uid="{00000000-0006-0000-0300-000013000000}">
      <text>
        <r>
          <rPr>
            <sz val="8"/>
            <color indexed="81"/>
            <rFont val="Tahoma"/>
            <family val="2"/>
          </rPr>
          <t>Beer Color is calculated using the Morey formula. EBC color is estimated as 1.97 times the SRM color.
Total Batch Volume affects color calculation.  Set Total Batch Volume on Water Adjustment sheet.</t>
        </r>
      </text>
    </comment>
    <comment ref="A19" authorId="1" shapeId="0" xr:uid="{00000000-0006-0000-0300-000014000000}">
      <text>
        <r>
          <rPr>
            <sz val="8"/>
            <color indexed="81"/>
            <rFont val="Tahoma"/>
            <family val="2"/>
          </rPr>
          <t>This ratio typically falls between 1 and 2 Qts / Lb or 2 to 4 L / Kg.  
Mash Water Volume is input on Water Adjustment sheet. This Ratio is not accurate until the proper mash water volume has been input on that sheet.</t>
        </r>
        <r>
          <rPr>
            <sz val="9"/>
            <color indexed="81"/>
            <rFont val="Tahoma"/>
            <family val="2"/>
          </rPr>
          <t xml:space="preserve">
</t>
        </r>
      </text>
    </comment>
    <comment ref="F19" authorId="1" shapeId="0" xr:uid="{00000000-0006-0000-0300-000015000000}">
      <text>
        <r>
          <rPr>
            <sz val="8"/>
            <color indexed="81"/>
            <rFont val="Tahoma"/>
            <family val="2"/>
          </rPr>
          <t>Beer Color is calculated using the Morey formula.
Total Batch Volume affects color calculation.  Set Total Batch Volume on Water Adjustment sheet.</t>
        </r>
      </text>
    </comment>
    <comment ref="A20" authorId="0" shapeId="0" xr:uid="{00000000-0006-0000-0300-000016000000}">
      <text>
        <r>
          <rPr>
            <sz val="8"/>
            <color indexed="81"/>
            <rFont val="Tahoma"/>
            <family val="2"/>
          </rPr>
          <t xml:space="preserve">Set the malt color rating system used for the malts here.  The selections are: </t>
        </r>
        <r>
          <rPr>
            <b/>
            <sz val="8"/>
            <color indexed="81"/>
            <rFont val="Tahoma"/>
            <family val="2"/>
          </rPr>
          <t>Lovibond</t>
        </r>
        <r>
          <rPr>
            <sz val="8"/>
            <color indexed="81"/>
            <rFont val="Tahoma"/>
            <family val="2"/>
          </rPr>
          <t xml:space="preserve"> or </t>
        </r>
        <r>
          <rPr>
            <b/>
            <sz val="8"/>
            <color indexed="81"/>
            <rFont val="Tahoma"/>
            <family val="2"/>
          </rPr>
          <t>EBC</t>
        </r>
      </text>
    </comment>
    <comment ref="B20" authorId="0" shapeId="0" xr:uid="{00000000-0006-0000-0300-000017000000}">
      <text>
        <r>
          <rPr>
            <sz val="8"/>
            <color indexed="81"/>
            <rFont val="Tahoma"/>
            <family val="2"/>
          </rPr>
          <t xml:space="preserve">Click on cell and a selection box will appear, displaying </t>
        </r>
        <r>
          <rPr>
            <b/>
            <sz val="8"/>
            <color indexed="81"/>
            <rFont val="Tahoma"/>
            <family val="2"/>
          </rPr>
          <t>EBC</t>
        </r>
        <r>
          <rPr>
            <sz val="8"/>
            <color indexed="81"/>
            <rFont val="Tahoma"/>
            <family val="2"/>
          </rPr>
          <t xml:space="preserve"> or </t>
        </r>
        <r>
          <rPr>
            <b/>
            <sz val="8"/>
            <color indexed="81"/>
            <rFont val="Tahoma"/>
            <family val="2"/>
          </rPr>
          <t>Lovibond</t>
        </r>
        <r>
          <rPr>
            <sz val="8"/>
            <color indexed="81"/>
            <rFont val="Tahoma"/>
            <family val="2"/>
          </rPr>
          <t xml:space="preserve"> units.
</t>
        </r>
      </text>
    </comment>
    <comment ref="F20" authorId="0" shapeId="0" xr:uid="{00000000-0006-0000-0300-000018000000}">
      <text>
        <r>
          <rPr>
            <sz val="8"/>
            <color indexed="81"/>
            <rFont val="Tahoma"/>
            <family val="2"/>
          </rPr>
          <t xml:space="preserve">Click on cell and a selection box will appear with </t>
        </r>
        <r>
          <rPr>
            <b/>
            <sz val="8"/>
            <color indexed="81"/>
            <rFont val="Tahoma"/>
            <family val="2"/>
          </rPr>
          <t>Yes</t>
        </r>
        <r>
          <rPr>
            <sz val="8"/>
            <color indexed="81"/>
            <rFont val="Tahoma"/>
            <family val="2"/>
          </rPr>
          <t xml:space="preserve"> or </t>
        </r>
        <r>
          <rPr>
            <b/>
            <sz val="8"/>
            <color indexed="81"/>
            <rFont val="Tahoma"/>
            <family val="2"/>
          </rPr>
          <t>No</t>
        </r>
        <r>
          <rPr>
            <sz val="8"/>
            <color indexed="81"/>
            <rFont val="Tahoma"/>
            <family val="2"/>
          </rPr>
          <t xml:space="preserve"> options.
If the water alkalinity is too low and Estimated Mash pH will also be too low, Input "</t>
        </r>
        <r>
          <rPr>
            <b/>
            <sz val="8"/>
            <color indexed="81"/>
            <rFont val="Tahoma"/>
            <family val="2"/>
          </rPr>
          <t>Yes"</t>
        </r>
        <r>
          <rPr>
            <sz val="8"/>
            <color indexed="81"/>
            <rFont val="Tahoma"/>
            <family val="2"/>
          </rPr>
          <t xml:space="preserve"> in either or both of these boxes to see if holding the Crystal or Roast Malts out of the main mash will provide an acceptable mash pH.</t>
        </r>
        <r>
          <rPr>
            <b/>
            <sz val="9"/>
            <color indexed="81"/>
            <rFont val="Tahoma"/>
            <family val="2"/>
          </rPr>
          <t xml:space="preserve"> </t>
        </r>
        <r>
          <rPr>
            <sz val="8"/>
            <color indexed="81"/>
            <rFont val="Tahoma"/>
            <family val="2"/>
          </rPr>
          <t xml:space="preserve">This may be an alternative to adding alkalinity to mash water. </t>
        </r>
        <r>
          <rPr>
            <b/>
            <sz val="8"/>
            <color indexed="81"/>
            <rFont val="Tahoma"/>
            <family val="2"/>
          </rPr>
          <t xml:space="preserve"> Input "No" when mashing all grains together.
These cells turn </t>
        </r>
        <r>
          <rPr>
            <b/>
            <sz val="8"/>
            <color indexed="10"/>
            <rFont val="Tahoma"/>
            <family val="2"/>
          </rPr>
          <t>RED</t>
        </r>
        <r>
          <rPr>
            <b/>
            <sz val="8"/>
            <color indexed="81"/>
            <rFont val="Tahoma"/>
            <family val="2"/>
          </rPr>
          <t xml:space="preserve"> to alert the Brewer that "Yes" has been input.</t>
        </r>
      </text>
    </comment>
    <comment ref="A21" authorId="0" shapeId="0" xr:uid="{00000000-0006-0000-0300-000019000000}">
      <text>
        <r>
          <rPr>
            <sz val="8"/>
            <color indexed="81"/>
            <rFont val="Tahoma"/>
            <family val="2"/>
          </rPr>
          <t xml:space="preserve">Typically set to </t>
        </r>
        <r>
          <rPr>
            <b/>
            <sz val="8"/>
            <color indexed="81"/>
            <rFont val="Tahoma"/>
            <family val="2"/>
          </rPr>
          <t>Adjusted Water</t>
        </r>
        <r>
          <rPr>
            <sz val="8"/>
            <color indexed="81"/>
            <rFont val="Tahoma"/>
            <family val="2"/>
          </rPr>
          <t xml:space="preserve"> setting, but can be used to quickly see what the affect on the mash would be if the </t>
        </r>
        <r>
          <rPr>
            <b/>
            <sz val="8"/>
            <color indexed="81"/>
            <rFont val="Tahoma"/>
            <family val="2"/>
          </rPr>
          <t xml:space="preserve">Existing water </t>
        </r>
        <r>
          <rPr>
            <sz val="8"/>
            <color indexed="81"/>
            <rFont val="Tahoma"/>
            <family val="2"/>
          </rPr>
          <t>were used.</t>
        </r>
        <r>
          <rPr>
            <sz val="9"/>
            <color indexed="81"/>
            <rFont val="Tahoma"/>
            <family val="2"/>
          </rPr>
          <t xml:space="preserve">
</t>
        </r>
      </text>
    </comment>
    <comment ref="B21" authorId="0" shapeId="0" xr:uid="{00000000-0006-0000-0300-00001A000000}">
      <text>
        <r>
          <rPr>
            <sz val="8"/>
            <color indexed="81"/>
            <rFont val="Tahoma"/>
            <family val="2"/>
          </rPr>
          <t xml:space="preserve">Click on cell and a selection box will appear displaying </t>
        </r>
        <r>
          <rPr>
            <b/>
            <sz val="8"/>
            <color indexed="81"/>
            <rFont val="Tahoma"/>
            <family val="2"/>
          </rPr>
          <t>Adjusted</t>
        </r>
        <r>
          <rPr>
            <sz val="8"/>
            <color indexed="81"/>
            <rFont val="Tahoma"/>
            <family val="2"/>
          </rPr>
          <t xml:space="preserve"> or </t>
        </r>
        <r>
          <rPr>
            <b/>
            <sz val="8"/>
            <color indexed="81"/>
            <rFont val="Tahoma"/>
            <family val="2"/>
          </rPr>
          <t>Existing</t>
        </r>
        <r>
          <rPr>
            <sz val="8"/>
            <color indexed="81"/>
            <rFont val="Tahoma"/>
            <family val="2"/>
          </rPr>
          <t xml:space="preserve"> water.
</t>
        </r>
      </text>
    </comment>
    <comment ref="F21" authorId="0" shapeId="0" xr:uid="{00000000-0006-0000-0300-00001B000000}">
      <text>
        <r>
          <rPr>
            <sz val="8"/>
            <color indexed="81"/>
            <rFont val="Tahoma"/>
            <family val="2"/>
          </rPr>
          <t xml:space="preserve">Click on cell and a selection box will appear with </t>
        </r>
        <r>
          <rPr>
            <b/>
            <sz val="8"/>
            <color indexed="81"/>
            <rFont val="Tahoma"/>
            <family val="2"/>
          </rPr>
          <t>Yes</t>
        </r>
        <r>
          <rPr>
            <sz val="8"/>
            <color indexed="81"/>
            <rFont val="Tahoma"/>
            <family val="2"/>
          </rPr>
          <t xml:space="preserve"> or </t>
        </r>
        <r>
          <rPr>
            <b/>
            <sz val="8"/>
            <color indexed="81"/>
            <rFont val="Tahoma"/>
            <family val="2"/>
          </rPr>
          <t>No</t>
        </r>
        <r>
          <rPr>
            <sz val="8"/>
            <color indexed="81"/>
            <rFont val="Tahoma"/>
            <family val="2"/>
          </rPr>
          <t xml:space="preserve"> options.
If the water alkalinity is too low and Estimated Mash pH will also be too low, Input </t>
        </r>
        <r>
          <rPr>
            <b/>
            <sz val="8"/>
            <color indexed="81"/>
            <rFont val="Tahoma"/>
            <family val="2"/>
          </rPr>
          <t>"Yes"</t>
        </r>
        <r>
          <rPr>
            <sz val="8"/>
            <color indexed="81"/>
            <rFont val="Tahoma"/>
            <family val="2"/>
          </rPr>
          <t xml:space="preserve"> in either or both of these boxes to see if holding the Crystal or Roast Malts out of the main mash will provide an acceptable mash pH. This may be an alternative to adding alkalinity to mash water.  </t>
        </r>
        <r>
          <rPr>
            <b/>
            <sz val="8"/>
            <color indexed="81"/>
            <rFont val="Tahoma"/>
            <family val="2"/>
          </rPr>
          <t>Input "No" when mashing all grains together.</t>
        </r>
        <r>
          <rPr>
            <sz val="8"/>
            <color indexed="81"/>
            <rFont val="Tahoma"/>
            <family val="2"/>
          </rPr>
          <t xml:space="preserve">
</t>
        </r>
        <r>
          <rPr>
            <b/>
            <sz val="8"/>
            <color indexed="81"/>
            <rFont val="Tahoma"/>
            <family val="2"/>
          </rPr>
          <t xml:space="preserve">These cells turn </t>
        </r>
        <r>
          <rPr>
            <b/>
            <sz val="8"/>
            <color indexed="10"/>
            <rFont val="Tahoma"/>
            <family val="2"/>
          </rPr>
          <t>RED</t>
        </r>
        <r>
          <rPr>
            <b/>
            <sz val="8"/>
            <color indexed="81"/>
            <rFont val="Tahoma"/>
            <family val="2"/>
          </rPr>
          <t xml:space="preserve"> to alert the Brewer that "Yes" is input.</t>
        </r>
      </text>
    </comment>
    <comment ref="B24" authorId="1" shapeId="0" xr:uid="{00000000-0006-0000-0300-00001C000000}">
      <text>
        <r>
          <rPr>
            <sz val="8"/>
            <color indexed="81"/>
            <rFont val="Tahoma"/>
            <family val="2"/>
          </rPr>
          <t>This is the estimated lactate ion content added to the mashing water from the</t>
        </r>
        <r>
          <rPr>
            <b/>
            <sz val="8"/>
            <color indexed="81"/>
            <rFont val="Tahoma"/>
            <family val="2"/>
          </rPr>
          <t xml:space="preserve"> Acid Malt</t>
        </r>
        <r>
          <rPr>
            <sz val="8"/>
            <color indexed="81"/>
            <rFont val="Tahoma"/>
            <family val="2"/>
          </rPr>
          <t xml:space="preserve"> addition.</t>
        </r>
        <r>
          <rPr>
            <sz val="9"/>
            <color indexed="81"/>
            <rFont val="Tahoma"/>
            <family val="2"/>
          </rPr>
          <t xml:space="preserve">
</t>
        </r>
        <r>
          <rPr>
            <sz val="8"/>
            <color indexed="81"/>
            <rFont val="Tahoma"/>
            <family val="2"/>
          </rPr>
          <t xml:space="preserve">
Although the typical lactate taste threshold is around 400 ppm, don't be alarmed if this value is above 400 ppm since any sparging water should dilute the lactate concentration in the kettle. See the </t>
        </r>
        <r>
          <rPr>
            <b/>
            <sz val="8"/>
            <color indexed="81"/>
            <rFont val="Tahoma"/>
            <family val="2"/>
          </rPr>
          <t>Adjustment Summary</t>
        </r>
        <r>
          <rPr>
            <sz val="8"/>
            <color indexed="81"/>
            <rFont val="Tahoma"/>
            <family val="2"/>
          </rPr>
          <t xml:space="preserve"> sheet for estimated kettle concentration.</t>
        </r>
      </text>
    </comment>
    <comment ref="F24" authorId="0" shapeId="0" xr:uid="{00000000-0006-0000-0300-00001D000000}">
      <text>
        <r>
          <rPr>
            <sz val="8"/>
            <color indexed="81"/>
            <rFont val="Tahoma"/>
            <family val="2"/>
          </rPr>
          <t>This mash pH estimate is for the early stage of mashing (say less than 20 minutes after mashing in).  The mash pH typically moves toward a pH of 5.4 as the mashing duration increases.
The acceptable pH range is 5.2 to 5.8 when measured at room temperature. (Recommended range is 5.3 to 5.5)
The optimum mash pH range is reportedly 5.4 to 5.6 (Malting and Brewing Science, 1981)</t>
        </r>
      </text>
    </comment>
    <comment ref="A25" authorId="0" shapeId="0" xr:uid="{00000000-0006-0000-0300-00001E000000}">
      <text>
        <r>
          <rPr>
            <sz val="8"/>
            <color indexed="81"/>
            <rFont val="Tahoma"/>
            <family val="2"/>
          </rPr>
          <t xml:space="preserve">The acidity of acid malt can vary between maltsters. To help accommodate that variation, the </t>
        </r>
        <r>
          <rPr>
            <b/>
            <sz val="8"/>
            <color indexed="81"/>
            <rFont val="Tahoma"/>
            <family val="2"/>
          </rPr>
          <t>Acid Malt Strength Setting</t>
        </r>
        <r>
          <rPr>
            <sz val="8"/>
            <color indexed="81"/>
            <rFont val="Tahoma"/>
            <family val="2"/>
          </rPr>
          <t xml:space="preserve"> can be adjusted here. The </t>
        </r>
        <r>
          <rPr>
            <b/>
            <sz val="8"/>
            <color indexed="81"/>
            <rFont val="Tahoma"/>
            <family val="2"/>
          </rPr>
          <t>default value is 1</t>
        </r>
        <r>
          <rPr>
            <sz val="8"/>
            <color indexed="81"/>
            <rFont val="Tahoma"/>
            <family val="2"/>
          </rPr>
          <t xml:space="preserve"> and this should generally fit the typical acidity of Weyermann acid malt and typically produces approximately 0.1 pH unit drop per percent of acid malt in the mash grist. 
When using acid malt and the measured mash pH is </t>
        </r>
        <r>
          <rPr>
            <b/>
            <sz val="8"/>
            <color indexed="81"/>
            <rFont val="Tahoma"/>
            <family val="2"/>
          </rPr>
          <t>lower</t>
        </r>
        <r>
          <rPr>
            <sz val="8"/>
            <color indexed="81"/>
            <rFont val="Tahoma"/>
            <family val="2"/>
          </rPr>
          <t xml:space="preserve"> than indicated in Bru'n Water, adjust the </t>
        </r>
        <r>
          <rPr>
            <b/>
            <sz val="8"/>
            <color indexed="81"/>
            <rFont val="Tahoma"/>
            <family val="2"/>
          </rPr>
          <t xml:space="preserve">Acid Malt Strength Setting </t>
        </r>
        <r>
          <rPr>
            <sz val="8"/>
            <color indexed="81"/>
            <rFont val="Tahoma"/>
            <family val="2"/>
          </rPr>
          <t xml:space="preserve">to a value </t>
        </r>
        <r>
          <rPr>
            <b/>
            <sz val="8"/>
            <color indexed="81"/>
            <rFont val="Tahoma"/>
            <family val="2"/>
          </rPr>
          <t>less than one</t>
        </r>
        <r>
          <rPr>
            <sz val="8"/>
            <color indexed="81"/>
            <rFont val="Tahoma"/>
            <family val="2"/>
          </rPr>
          <t>. If the measured mash pH is</t>
        </r>
        <r>
          <rPr>
            <b/>
            <sz val="8"/>
            <color indexed="81"/>
            <rFont val="Tahoma"/>
            <family val="2"/>
          </rPr>
          <t xml:space="preserve"> higher</t>
        </r>
        <r>
          <rPr>
            <sz val="8"/>
            <color indexed="81"/>
            <rFont val="Tahoma"/>
            <family val="2"/>
          </rPr>
          <t xml:space="preserve"> than indicated in Bru'n Water, adjust the value to </t>
        </r>
        <r>
          <rPr>
            <b/>
            <sz val="8"/>
            <color indexed="81"/>
            <rFont val="Tahoma"/>
            <family val="2"/>
          </rPr>
          <t>greater than one</t>
        </r>
        <r>
          <rPr>
            <sz val="8"/>
            <color indexed="81"/>
            <rFont val="Tahoma"/>
            <family val="2"/>
          </rPr>
          <t xml:space="preserve">. The Acid Malt Strength setting should generally fall between </t>
        </r>
        <r>
          <rPr>
            <b/>
            <sz val="8"/>
            <color indexed="81"/>
            <rFont val="Tahoma"/>
            <family val="2"/>
          </rPr>
          <t>0.5 and 2.</t>
        </r>
        <r>
          <rPr>
            <sz val="8"/>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martin.brungard</author>
    <author>Martin Brungard</author>
    <author>Martin.Brungard</author>
  </authors>
  <commentList>
    <comment ref="B2" authorId="0" shapeId="0" xr:uid="{00000000-0006-0000-0400-000001000000}">
      <text>
        <r>
          <rPr>
            <sz val="9"/>
            <color indexed="81"/>
            <rFont val="Tahoma"/>
            <family val="2"/>
          </rPr>
          <t xml:space="preserve">Beer Name is entered on 
</t>
        </r>
        <r>
          <rPr>
            <b/>
            <sz val="9"/>
            <color indexed="81"/>
            <rFont val="Tahoma"/>
            <family val="2"/>
          </rPr>
          <t xml:space="preserve">Grain Bill Input </t>
        </r>
        <r>
          <rPr>
            <sz val="9"/>
            <color indexed="81"/>
            <rFont val="Tahoma"/>
            <family val="2"/>
          </rPr>
          <t xml:space="preserve">sheet.
</t>
        </r>
      </text>
    </comment>
    <comment ref="A4" authorId="0" shapeId="0" xr:uid="{00000000-0006-0000-0400-000002000000}">
      <text>
        <r>
          <rPr>
            <sz val="8"/>
            <color indexed="81"/>
            <rFont val="Tahoma"/>
            <family val="2"/>
          </rPr>
          <t xml:space="preserve">Use this calculator to amend your water 
to produce a desired water profile.
</t>
        </r>
      </text>
    </comment>
    <comment ref="A5" authorId="1" shapeId="0" xr:uid="{00000000-0006-0000-0400-000003000000}">
      <text>
        <r>
          <rPr>
            <sz val="8"/>
            <color indexed="81"/>
            <rFont val="Tahoma"/>
            <family val="2"/>
          </rPr>
          <t xml:space="preserve">This is the water profile desired to brew the beer.  
To Enter Custom Profiles, </t>
        </r>
        <r>
          <rPr>
            <b/>
            <sz val="8"/>
            <color indexed="81"/>
            <rFont val="Tahoma"/>
            <family val="2"/>
          </rPr>
          <t>scroll to the bottom 
of this sheet</t>
        </r>
        <r>
          <rPr>
            <sz val="8"/>
            <color indexed="81"/>
            <rFont val="Tahoma"/>
            <family val="2"/>
          </rPr>
          <t xml:space="preserve"> and enter values in the Table below.
NOTE: </t>
        </r>
        <r>
          <rPr>
            <b/>
            <sz val="8"/>
            <color indexed="81"/>
            <rFont val="Tahoma"/>
            <family val="2"/>
          </rPr>
          <t>USE A BOILED PROFILE IF 
CONSIDERING USING A HISTORIC WATER 
PROFILE.</t>
        </r>
        <r>
          <rPr>
            <sz val="8"/>
            <color indexed="81"/>
            <rFont val="Tahoma"/>
            <family val="2"/>
          </rPr>
          <t xml:space="preserve">  The </t>
        </r>
        <r>
          <rPr>
            <b/>
            <sz val="8"/>
            <color indexed="81"/>
            <rFont val="Tahoma"/>
            <family val="2"/>
          </rPr>
          <t>"Boiled"</t>
        </r>
        <r>
          <rPr>
            <sz val="8"/>
            <color indexed="81"/>
            <rFont val="Tahoma"/>
            <family val="2"/>
          </rPr>
          <t xml:space="preserve"> water profiles included 
here, represent the new water profile that results 
for a water that was boiled to remove temporary 
hardness and alkalinity.  Where the "original" water 
profile might have been more suited for darker beers, 
the "boiled" profile may be more suitable for lighter 
colored beers.  Boiling and decanting water off the 
chalky sediment was one of the first water treatment 
methods used by brewers. The "</t>
        </r>
        <r>
          <rPr>
            <b/>
            <sz val="8"/>
            <color indexed="81"/>
            <rFont val="Tahoma"/>
            <family val="2"/>
          </rPr>
          <t>Boiled</t>
        </r>
        <r>
          <rPr>
            <sz val="8"/>
            <color indexed="81"/>
            <rFont val="Tahoma"/>
            <family val="2"/>
          </rPr>
          <t xml:space="preserve">" profiles are 
more likely to produce acceptable pH results.
</t>
        </r>
      </text>
    </comment>
    <comment ref="C5" authorId="0" shapeId="0" xr:uid="{00000000-0006-0000-0400-000004000000}">
      <text>
        <r>
          <rPr>
            <sz val="8"/>
            <color indexed="81"/>
            <rFont val="Tahoma"/>
            <family val="2"/>
          </rPr>
          <t xml:space="preserve">Mashing water Calcium content should typically 
fall in the range of 40 to 100 ppm.  Less than 
40 ppm calcium content can be used in lager 
brewing, but the low calcium content may not 
produce desirable precipitation of trub and 
oxalates from wort. High oxalates may lead to 
beerstone formation.  Calcium aids in yeast 
floculation and beer clarification, but calcium is 
not needed for yeast health (the malt provides 
all the calcium needed for yeast health).
Calcium should not typically exceed 100 ppm 
unless it has to be added to provide a desirable 
anion like sulfate to the water.
If calcium content will be less than 40 ppm, 
adding the sparging water addition to the mash 
may elevate the mash calcium content above 
40 ppm. Use the </t>
        </r>
        <r>
          <rPr>
            <b/>
            <sz val="8"/>
            <color indexed="81"/>
            <rFont val="Tahoma"/>
            <family val="2"/>
          </rPr>
          <t>Add Sparging Water 
mineral additions to the Mash</t>
        </r>
        <r>
          <rPr>
            <sz val="8"/>
            <color indexed="81"/>
            <rFont val="Tahoma"/>
            <family val="2"/>
          </rPr>
          <t xml:space="preserve"> tool below.
</t>
        </r>
      </text>
    </comment>
    <comment ref="D5" authorId="0" shapeId="0" xr:uid="{00000000-0006-0000-0400-000005000000}">
      <text>
        <r>
          <rPr>
            <sz val="8"/>
            <color indexed="81"/>
            <rFont val="Tahoma"/>
            <family val="2"/>
          </rPr>
          <t xml:space="preserve">Magnesium is a yeast nutrient, but may be 
astringent at concentrations over 40 ppm.  
Preferred range is 0 to 30 ppm.   
Malts typically provide sufficient magnesium 
to wort to provide for proper yeast health 
and flocculation.  
Add magnesium when its bitter and sour 
taste is desirable in beer, such as in Bitter 
or Pale Ales.  There is no need to add 
magnesium for other beer styles, even if 
the water profiles below indicate to. 
However, using magnesium salts instead 
of calcium salts can be desirable when you 
want more chloride or sulfate without 
driving the calcium concentration too high.
 </t>
        </r>
      </text>
    </comment>
    <comment ref="E5" authorId="0" shapeId="0" xr:uid="{00000000-0006-0000-0400-000006000000}">
      <text>
        <r>
          <rPr>
            <sz val="8"/>
            <color indexed="81"/>
            <rFont val="Tahoma"/>
            <family val="2"/>
          </rPr>
          <t xml:space="preserve">Sodium accentuates beer flavor and roundness 
at moderate concentrations.  Preferred range 
is 0 to 150 ppm, but should be less than 100 ppm 
if sulfate content is high.  Keeping sodium below 
50 ppm is desirable for most pale beers. Higher 
sodium concentration can be desirable in darker 
styles.
</t>
        </r>
      </text>
    </comment>
    <comment ref="F5" authorId="0" shapeId="0" xr:uid="{00000000-0006-0000-0400-000007000000}">
      <text>
        <r>
          <rPr>
            <sz val="8"/>
            <color indexed="81"/>
            <rFont val="Tahoma"/>
            <family val="2"/>
          </rPr>
          <t xml:space="preserve">Sulfate provides a sharper and dryer edge to highly hopped beers.  
The preferred range is 0 to 350 ppm, but the concentration 
should not exceed 150 ppm unless the beer is highly hopped.
</t>
        </r>
      </text>
    </comment>
    <comment ref="G5" authorId="0" shapeId="0" xr:uid="{00000000-0006-0000-0400-000008000000}">
      <text>
        <r>
          <rPr>
            <sz val="8"/>
            <color indexed="81"/>
            <rFont val="Tahoma"/>
            <family val="2"/>
          </rPr>
          <t xml:space="preserve">Chloride accentuates fullness and sweetness.  
The preferred range is 10 to 100 ppm, but 
the upper limit should be reduced to avoid 
harshness if the water has high sulfate 
concentration.
</t>
        </r>
      </text>
    </comment>
    <comment ref="H5" authorId="0" shapeId="0" xr:uid="{00000000-0006-0000-0400-000009000000}">
      <text>
        <r>
          <rPr>
            <sz val="8"/>
            <color indexed="81"/>
            <rFont val="Tahoma"/>
            <family val="2"/>
          </rPr>
          <t xml:space="preserve">Bicarbonate is an alkaline buffer that limits 
pH reduction during mashing.  It is generally 
undesirable in beer, but is needed to balance 
the acidity of dark malts and crystal malts 
used in some beers.
</t>
        </r>
      </text>
    </comment>
    <comment ref="L5" authorId="1" shapeId="0" xr:uid="{00000000-0006-0000-0400-00000A000000}">
      <text>
        <r>
          <rPr>
            <sz val="8"/>
            <color indexed="81"/>
            <rFont val="Tahoma"/>
            <family val="2"/>
          </rPr>
          <t>Enter notes for batches here.</t>
        </r>
        <r>
          <rPr>
            <sz val="9"/>
            <color indexed="81"/>
            <rFont val="Tahoma"/>
            <family val="2"/>
          </rPr>
          <t xml:space="preserve">
</t>
        </r>
      </text>
    </comment>
    <comment ref="A6" authorId="1" shapeId="0" xr:uid="{00000000-0006-0000-0400-00000B000000}">
      <text>
        <r>
          <rPr>
            <sz val="8"/>
            <color indexed="81"/>
            <rFont val="Tahoma"/>
            <family val="2"/>
          </rPr>
          <t xml:space="preserve">Click on this cell to bring up a selection box 
of preloaded water profiles.
To change the concentrations in these profiles, 
scroll down this page to the table at the bottom 
of the page and adjust the concentrations there.
</t>
        </r>
      </text>
    </comment>
    <comment ref="A7" authorId="1" shapeId="0" xr:uid="{00000000-0006-0000-0400-00000C000000}">
      <text>
        <r>
          <rPr>
            <sz val="8"/>
            <color indexed="81"/>
            <rFont val="Tahoma"/>
            <family val="2"/>
          </rPr>
          <t xml:space="preserve">This water profile is entered on the </t>
        </r>
        <r>
          <rPr>
            <b/>
            <sz val="8"/>
            <color indexed="81"/>
            <rFont val="Tahoma"/>
            <family val="2"/>
          </rPr>
          <t xml:space="preserve">Water Report Input </t>
        </r>
        <r>
          <rPr>
            <sz val="8"/>
            <color indexed="81"/>
            <rFont val="Tahoma"/>
            <family val="2"/>
          </rPr>
          <t xml:space="preserve">sheet.
</t>
        </r>
      </text>
    </comment>
    <comment ref="H7" authorId="0" shapeId="0" xr:uid="{00000000-0006-0000-0400-00000D000000}">
      <text>
        <r>
          <rPr>
            <sz val="8"/>
            <color indexed="81"/>
            <rFont val="Tahoma"/>
            <family val="2"/>
          </rPr>
          <t xml:space="preserve">The Bicarbonate concentration shown here includes 
the contribution of Carbonate.  Therefore, this value 
may differ somewhat from the Bicarbonate 
concentration that was originally input on the 
</t>
        </r>
        <r>
          <rPr>
            <b/>
            <sz val="8"/>
            <color indexed="81"/>
            <rFont val="Tahoma"/>
            <family val="2"/>
          </rPr>
          <t>Water Report Input</t>
        </r>
        <r>
          <rPr>
            <sz val="8"/>
            <color indexed="81"/>
            <rFont val="Tahoma"/>
            <family val="2"/>
          </rPr>
          <t xml:space="preserve"> sheet.
</t>
        </r>
      </text>
    </comment>
    <comment ref="A8" authorId="1" shapeId="0" xr:uid="{00000000-0006-0000-0400-00000E000000}">
      <text>
        <r>
          <rPr>
            <sz val="8"/>
            <color indexed="81"/>
            <rFont val="Tahoma"/>
            <family val="2"/>
          </rPr>
          <t xml:space="preserve">Water used to dilute the Existing water profile. Select below.
</t>
        </r>
      </text>
    </comment>
    <comment ref="A9" authorId="1" shapeId="0" xr:uid="{00000000-0006-0000-0400-00000F000000}">
      <text>
        <r>
          <rPr>
            <sz val="8"/>
            <color indexed="81"/>
            <rFont val="Tahoma"/>
            <family val="2"/>
          </rPr>
          <t>Click on cell to select Dilution Water.
To change the names or concentrations 
of your Diluted water profiles, scroll 
down this page to the table at the 
bottom of the page and adjust the 
concentrations there.</t>
        </r>
        <r>
          <rPr>
            <sz val="9"/>
            <color indexed="81"/>
            <rFont val="Tahoma"/>
            <family val="2"/>
          </rPr>
          <t xml:space="preserve">
</t>
        </r>
      </text>
    </comment>
    <comment ref="A10" authorId="1" shapeId="0" xr:uid="{00000000-0006-0000-0400-000010000000}">
      <text>
        <r>
          <rPr>
            <sz val="8"/>
            <color indexed="81"/>
            <rFont val="Tahoma"/>
            <family val="2"/>
          </rPr>
          <t xml:space="preserve">When the Existing Water's ion concentrations are 
higher than the Desired Water Profile, select the 
type of dilution water you are using (RO or Distilled) 
and increase the dilution percentage until the 
excessive ion concentrations are sufficiently reduced.  
</t>
        </r>
        <r>
          <rPr>
            <b/>
            <sz val="8"/>
            <color indexed="81"/>
            <rFont val="Tahoma"/>
            <family val="2"/>
          </rPr>
          <t xml:space="preserve">
Enter values between 0 and 100.</t>
        </r>
        <r>
          <rPr>
            <sz val="8"/>
            <color indexed="81"/>
            <rFont val="Tahoma"/>
            <family val="2"/>
          </rPr>
          <t xml:space="preserve">
Zero dilution means that no Distilled or RO water is 
mixed with the existing water and 100 percent 
dilution means the water is ALL Distilled or RO water.
  </t>
        </r>
      </text>
    </comment>
    <comment ref="B10" authorId="1" shapeId="0" xr:uid="{00000000-0006-0000-0400-000011000000}">
      <text>
        <r>
          <rPr>
            <b/>
            <sz val="8"/>
            <color indexed="81"/>
            <rFont val="Tahoma"/>
            <family val="2"/>
          </rPr>
          <t>Enter values between 0 and 100</t>
        </r>
        <r>
          <rPr>
            <sz val="9"/>
            <color indexed="81"/>
            <rFont val="Tahoma"/>
            <family val="2"/>
          </rPr>
          <t xml:space="preserve">
</t>
        </r>
      </text>
    </comment>
    <comment ref="D10" authorId="0" shapeId="0" xr:uid="{00000000-0006-0000-0400-000012000000}">
      <text>
        <r>
          <rPr>
            <sz val="8"/>
            <color indexed="81"/>
            <rFont val="Tahoma"/>
            <family val="2"/>
          </rPr>
          <t xml:space="preserve">Quantity of dilution water used to make the diluted volume of water
  </t>
        </r>
      </text>
    </comment>
    <comment ref="F10" authorId="0" shapeId="0" xr:uid="{00000000-0006-0000-0400-000013000000}">
      <text>
        <r>
          <rPr>
            <sz val="8"/>
            <color indexed="81"/>
            <rFont val="Tahoma"/>
            <family val="2"/>
          </rPr>
          <t>Quantity of dilution water used to make the diluted volume of water</t>
        </r>
        <r>
          <rPr>
            <sz val="9"/>
            <color indexed="81"/>
            <rFont val="Tahoma"/>
            <family val="2"/>
          </rPr>
          <t xml:space="preserve">
</t>
        </r>
      </text>
    </comment>
    <comment ref="A11" authorId="0" shapeId="0" xr:uid="{00000000-0006-0000-0400-000014000000}">
      <text>
        <r>
          <rPr>
            <sz val="8"/>
            <color indexed="81"/>
            <rFont val="Tahoma"/>
            <family val="2"/>
          </rPr>
          <t xml:space="preserve">This is the resulting profile of the Existing Water diluted 
with the proposed percentage of Dilution Water.
</t>
        </r>
      </text>
    </comment>
    <comment ref="A12" authorId="1" shapeId="0" xr:uid="{00000000-0006-0000-0400-000015000000}">
      <text>
        <r>
          <rPr>
            <sz val="8"/>
            <color indexed="81"/>
            <rFont val="Tahoma"/>
            <family val="2"/>
          </rPr>
          <t>If any Target Water Adjustments are negative, the cell shading may be</t>
        </r>
        <r>
          <rPr>
            <b/>
            <sz val="8"/>
            <color indexed="10"/>
            <rFont val="Tahoma"/>
            <family val="2"/>
          </rPr>
          <t xml:space="preserve"> 
RED</t>
        </r>
        <r>
          <rPr>
            <sz val="8"/>
            <color indexed="81"/>
            <rFont val="Tahoma"/>
            <family val="2"/>
          </rPr>
          <t xml:space="preserve">.  Dilution of the existing water may be necessary to reduce that ion 
concentration to create the Desired Water Profile.  If the adjustment is 
less than about 20 ppm, it may be feasible to ignore the need to dilute 
to correct the value(s). The cells do not turn RED until the needed 
adjustment is greater than -20 ppm.
Since excess bicarbonate can be corrected with acid addition, the 
bicarbonate cell does NOT turn </t>
        </r>
        <r>
          <rPr>
            <b/>
            <sz val="8"/>
            <color indexed="10"/>
            <rFont val="Tahoma"/>
            <family val="2"/>
          </rPr>
          <t>RED</t>
        </r>
        <r>
          <rPr>
            <sz val="8"/>
            <color indexed="81"/>
            <rFont val="Tahoma"/>
            <family val="2"/>
          </rPr>
          <t xml:space="preserve"> to signal the need for dilution.
</t>
        </r>
      </text>
    </comment>
    <comment ref="A13" authorId="1" shapeId="0" xr:uid="{00000000-0006-0000-0400-000016000000}">
      <text>
        <r>
          <rPr>
            <sz val="8"/>
            <color indexed="81"/>
            <rFont val="Tahoma"/>
            <family val="2"/>
          </rPr>
          <t xml:space="preserve">Adjust mineral additions (in Table below) until </t>
        </r>
        <r>
          <rPr>
            <b/>
            <sz val="8"/>
            <color indexed="81"/>
            <rFont val="Tahoma"/>
            <family val="2"/>
          </rPr>
          <t xml:space="preserve">Actual Finished Water Adjustments 
</t>
        </r>
        <r>
          <rPr>
            <sz val="8"/>
            <color indexed="81"/>
            <rFont val="Tahoma"/>
            <family val="2"/>
          </rPr>
          <t xml:space="preserve">are near the </t>
        </r>
        <r>
          <rPr>
            <b/>
            <sz val="8"/>
            <color indexed="81"/>
            <rFont val="Tahoma"/>
            <family val="2"/>
          </rPr>
          <t>Target Finished Water Adjustment</t>
        </r>
        <r>
          <rPr>
            <sz val="8"/>
            <color indexed="81"/>
            <rFont val="Tahoma"/>
            <family val="2"/>
          </rPr>
          <t xml:space="preserve"> values.  The cell color will change 
to </t>
        </r>
        <r>
          <rPr>
            <b/>
            <sz val="8"/>
            <color indexed="17"/>
            <rFont val="Tahoma"/>
            <family val="2"/>
          </rPr>
          <t xml:space="preserve">GREEN </t>
        </r>
        <r>
          <rPr>
            <sz val="8"/>
            <color indexed="81"/>
            <rFont val="Tahoma"/>
            <family val="2"/>
          </rPr>
          <t xml:space="preserve">when the </t>
        </r>
        <r>
          <rPr>
            <b/>
            <sz val="8"/>
            <color indexed="81"/>
            <rFont val="Tahoma"/>
            <family val="2"/>
          </rPr>
          <t>Actual</t>
        </r>
        <r>
          <rPr>
            <sz val="8"/>
            <color indexed="81"/>
            <rFont val="Tahoma"/>
            <family val="2"/>
          </rPr>
          <t xml:space="preserve"> and </t>
        </r>
        <r>
          <rPr>
            <b/>
            <sz val="8"/>
            <color indexed="81"/>
            <rFont val="Tahoma"/>
            <family val="2"/>
          </rPr>
          <t xml:space="preserve">Target </t>
        </r>
        <r>
          <rPr>
            <sz val="8"/>
            <color indexed="81"/>
            <rFont val="Tahoma"/>
            <family val="2"/>
          </rPr>
          <t xml:space="preserve">values are within 5 ppm to provide the brewer 
with a quick visual indicator.  
</t>
        </r>
      </text>
    </comment>
    <comment ref="E13" authorId="2" shapeId="0" xr:uid="{00000000-0006-0000-0400-000017000000}">
      <text>
        <r>
          <rPr>
            <sz val="8"/>
            <color indexed="81"/>
            <rFont val="Tahoma"/>
            <family val="2"/>
          </rPr>
          <t xml:space="preserve">The concentrations of Na, SO4, &amp; Cl shown here 
are the final concentrations in the kettle.  
These concentrations may not always reflect the 
concentrations shown below since the sparging 
water concentrations may differ from those values.
</t>
        </r>
      </text>
    </comment>
    <comment ref="F13" authorId="2" shapeId="0" xr:uid="{00000000-0006-0000-0400-000018000000}">
      <text>
        <r>
          <rPr>
            <sz val="8"/>
            <color indexed="81"/>
            <rFont val="Tahoma"/>
            <family val="2"/>
          </rPr>
          <t xml:space="preserve">The concentrations of Na, SO4, &amp; Cl shown here 
are the final concentrations in the kettle.  
These concentrations may not always reflect the 
concentrations shown below since the sparging 
water concentrations may differ from those values.
</t>
        </r>
      </text>
    </comment>
    <comment ref="G13" authorId="2" shapeId="0" xr:uid="{00000000-0006-0000-0400-000019000000}">
      <text>
        <r>
          <rPr>
            <sz val="8"/>
            <color indexed="81"/>
            <rFont val="Tahoma"/>
            <family val="2"/>
          </rPr>
          <t xml:space="preserve">The concentrations of Na, SO4, &amp; Cl shown here 
are the final concentrations in the kettle.  
These concentrations may not always reflect the 
concentrations shown below since the sparging 
water concentrations may differ from those values.
</t>
        </r>
      </text>
    </comment>
    <comment ref="N13" authorId="0" shapeId="0" xr:uid="{00000000-0006-0000-0400-00001A000000}">
      <text>
        <r>
          <rPr>
            <sz val="8"/>
            <color indexed="81"/>
            <rFont val="Tahoma"/>
            <family val="2"/>
          </rPr>
          <t>Very Dry: &gt; 2.0
Dry: 2.0
Balanced: 1.3
Full: 0.75
Very Full: 0.5
DO NOT use this ratio to set SO4 
or Cl targets.  This ratio has limited 
applicability and should not be used 
exclusively to determine appropriate 
SO4 or Cl concentrations.   
Use the recommended limits for SO4 
and Cl to drive what the brewer uses 
for 'appropriate' concentrations.</t>
        </r>
        <r>
          <rPr>
            <sz val="9"/>
            <color indexed="81"/>
            <rFont val="Tahoma"/>
            <family val="2"/>
          </rPr>
          <t xml:space="preserve">
</t>
        </r>
      </text>
    </comment>
    <comment ref="A14" authorId="0" shapeId="0" xr:uid="{00000000-0006-0000-0400-00001B000000}">
      <text>
        <r>
          <rPr>
            <sz val="8"/>
            <color indexed="81"/>
            <rFont val="Tahoma"/>
            <family val="2"/>
          </rPr>
          <t xml:space="preserve">This is the water profile that results from the mineral additions to 
the Existing or Diluted Water Profiles for the </t>
        </r>
        <r>
          <rPr>
            <b/>
            <sz val="8"/>
            <color indexed="81"/>
            <rFont val="Tahoma"/>
            <family val="2"/>
          </rPr>
          <t>MASHING</t>
        </r>
        <r>
          <rPr>
            <sz val="8"/>
            <color indexed="81"/>
            <rFont val="Tahoma"/>
            <family val="2"/>
          </rPr>
          <t xml:space="preserve"> water.  
This is the water profile in the </t>
        </r>
        <r>
          <rPr>
            <b/>
            <sz val="8"/>
            <color indexed="81"/>
            <rFont val="Tahoma"/>
            <family val="2"/>
          </rPr>
          <t xml:space="preserve">MASH.
</t>
        </r>
      </text>
    </comment>
    <comment ref="C14" authorId="0" shapeId="0" xr:uid="{00000000-0006-0000-0400-00001C000000}">
      <text>
        <r>
          <rPr>
            <sz val="8"/>
            <color indexed="81"/>
            <rFont val="Tahoma"/>
            <family val="2"/>
          </rPr>
          <t xml:space="preserve">At least 40 ppm calcium is recommended for oxalate (beerstone) 
reduction to occur in the mash. This cell turns </t>
        </r>
        <r>
          <rPr>
            <b/>
            <sz val="8"/>
            <color indexed="17"/>
            <rFont val="Tahoma"/>
            <family val="2"/>
          </rPr>
          <t>GREEN</t>
        </r>
        <r>
          <rPr>
            <sz val="8"/>
            <color indexed="81"/>
            <rFont val="Tahoma"/>
            <family val="2"/>
          </rPr>
          <t xml:space="preserve"> when the 
calcium content </t>
        </r>
        <r>
          <rPr>
            <b/>
            <sz val="8"/>
            <color indexed="81"/>
            <rFont val="Tahoma"/>
            <family val="2"/>
          </rPr>
          <t>IN THE MASH</t>
        </r>
        <r>
          <rPr>
            <sz val="8"/>
            <color indexed="81"/>
            <rFont val="Tahoma"/>
            <family val="2"/>
          </rPr>
          <t xml:space="preserve"> is greater than 40 ppm. 
Lager brewers that want to keep their water mineralization low, 
can boost calcium content in the mash and rely on sparging water 
addition to dilute the overall calcium content in the kettle. 
The calcium content in the mash does affect the mash pH. 
More calcium will drive the mash pH lower, although acid 
addition is a better way to lower mash pH. 
</t>
        </r>
      </text>
    </comment>
    <comment ref="D14" authorId="0" shapeId="0" xr:uid="{00000000-0006-0000-0400-00001D000000}">
      <text>
        <r>
          <rPr>
            <sz val="8"/>
            <color indexed="81"/>
            <rFont val="Tahoma"/>
            <family val="2"/>
          </rPr>
          <t xml:space="preserve">The magnesium content in the mash does affect the mash pH. 
More magnesium will drive the mash pH lower, although acid 
addition is a better way to lower mash pH. 
</t>
        </r>
      </text>
    </comment>
    <comment ref="E14" authorId="0" shapeId="0" xr:uid="{00000000-0006-0000-0400-00001E000000}">
      <text>
        <r>
          <rPr>
            <sz val="8"/>
            <color indexed="81"/>
            <rFont val="Tahoma"/>
            <family val="2"/>
          </rPr>
          <t xml:space="preserve">There is no need for sodium in the mash. However, 
Baking Soda is an effective way to add alkalinity to the 
mash. High sodium content in the mash is OK when 
using Baking Soda since it will be diluted with the 
sparging water addition. Although high sodium content 
in the mash is OK, be sure that the sodium content is 
acceptably low in the </t>
        </r>
        <r>
          <rPr>
            <b/>
            <sz val="8"/>
            <color indexed="81"/>
            <rFont val="Tahoma"/>
            <family val="2"/>
          </rPr>
          <t>Finished Water Profile</t>
        </r>
        <r>
          <rPr>
            <sz val="8"/>
            <color indexed="81"/>
            <rFont val="Tahoma"/>
            <family val="2"/>
          </rPr>
          <t xml:space="preserve">.
</t>
        </r>
      </text>
    </comment>
    <comment ref="F14" authorId="0" shapeId="0" xr:uid="{00000000-0006-0000-0400-00001F000000}">
      <text>
        <r>
          <rPr>
            <sz val="8"/>
            <color indexed="81"/>
            <rFont val="Tahoma"/>
            <family val="2"/>
          </rPr>
          <t xml:space="preserve">There is no need for sulfate in the mash. Any sulfate 
level should be acceptable in the mash, as long as the 
level in the </t>
        </r>
        <r>
          <rPr>
            <b/>
            <sz val="8"/>
            <color indexed="81"/>
            <rFont val="Tahoma"/>
            <family val="2"/>
          </rPr>
          <t>Finished Water Profile</t>
        </r>
        <r>
          <rPr>
            <sz val="8"/>
            <color indexed="81"/>
            <rFont val="Tahoma"/>
            <family val="2"/>
          </rPr>
          <t xml:space="preserve"> is at the desired level.
</t>
        </r>
      </text>
    </comment>
    <comment ref="G14" authorId="0" shapeId="0" xr:uid="{00000000-0006-0000-0400-000020000000}">
      <text>
        <r>
          <rPr>
            <sz val="8"/>
            <color indexed="81"/>
            <rFont val="Tahoma"/>
            <family val="2"/>
          </rPr>
          <t xml:space="preserve">There is no need for chloride in the mash. Any 
chloride level should be acceptable in the mash, 
as long as the level in the </t>
        </r>
        <r>
          <rPr>
            <b/>
            <sz val="8"/>
            <color indexed="81"/>
            <rFont val="Tahoma"/>
            <family val="2"/>
          </rPr>
          <t>Finished Water Profile</t>
        </r>
        <r>
          <rPr>
            <sz val="8"/>
            <color indexed="81"/>
            <rFont val="Tahoma"/>
            <family val="2"/>
          </rPr>
          <t xml:space="preserve"> 
is at the desired level.
</t>
        </r>
      </text>
    </comment>
    <comment ref="H14" authorId="0" shapeId="0" xr:uid="{00000000-0006-0000-0400-000021000000}">
      <text>
        <r>
          <rPr>
            <sz val="8"/>
            <color indexed="81"/>
            <rFont val="Tahoma"/>
            <family val="2"/>
          </rPr>
          <t xml:space="preserve">Bicarbonate does not have an ideal range.  
It is needed only to the extent required to 
produce an appropriate mash pH.
The Target Bicarbonate Adjustment (in the 
</t>
        </r>
        <r>
          <rPr>
            <b/>
            <sz val="8"/>
            <color indexed="81"/>
            <rFont val="Tahoma"/>
            <family val="2"/>
          </rPr>
          <t>Desired Water Profile</t>
        </r>
        <r>
          <rPr>
            <sz val="8"/>
            <color indexed="81"/>
            <rFont val="Tahoma"/>
            <family val="2"/>
          </rPr>
          <t xml:space="preserve"> above) should be 
considered an initial guess for the proper 
Bicarbonate content.  Adjust the Bicarbonate 
level as needed to produce an acceptable 
mash pH.
</t>
        </r>
      </text>
    </comment>
    <comment ref="A15" authorId="0" shapeId="0" xr:uid="{00000000-0006-0000-0400-000022000000}">
      <text>
        <r>
          <rPr>
            <sz val="8"/>
            <color indexed="81"/>
            <rFont val="Tahoma"/>
            <family val="2"/>
          </rPr>
          <t xml:space="preserve">This is the water profile in the </t>
        </r>
        <r>
          <rPr>
            <b/>
            <sz val="8"/>
            <color indexed="81"/>
            <rFont val="Tahoma"/>
            <family val="2"/>
          </rPr>
          <t>KETTLE</t>
        </r>
        <r>
          <rPr>
            <sz val="8"/>
            <color indexed="81"/>
            <rFont val="Tahoma"/>
            <family val="2"/>
          </rPr>
          <t xml:space="preserve"> that results from the mineral 
additions to the Existing or Diluted Water Profiles.  This is the 
resulting water quality after all dilutions, additions, and combining 
with sparging water. Although some ion loss may occur in the mash, 
the Overall Finished Water Profile generally represents the water in 
the kettle. 
</t>
        </r>
      </text>
    </comment>
    <comment ref="C15" authorId="0" shapeId="0" xr:uid="{00000000-0006-0000-0400-000023000000}">
      <text>
        <r>
          <rPr>
            <sz val="8"/>
            <color indexed="81"/>
            <rFont val="Tahoma"/>
            <family val="2"/>
          </rPr>
          <t xml:space="preserve">At least 40 ppm calcium is recommended for oxalate (beerstone) 
reduction although lower concentrations can produce good beer 
(ie. Pilsen). Lager brewing can benefit from very low calcium 
content, however beer taste is often enhanced if the calcium 
content is 20 ppm or more. 
This cell turns </t>
        </r>
        <r>
          <rPr>
            <b/>
            <sz val="8"/>
            <color indexed="17"/>
            <rFont val="Tahoma"/>
            <family val="2"/>
          </rPr>
          <t>GREEN</t>
        </r>
        <r>
          <rPr>
            <sz val="8"/>
            <color indexed="81"/>
            <rFont val="Tahoma"/>
            <family val="2"/>
          </rPr>
          <t xml:space="preserve"> when the calcium content </t>
        </r>
        <r>
          <rPr>
            <b/>
            <sz val="8"/>
            <color indexed="81"/>
            <rFont val="Tahoma"/>
            <family val="2"/>
          </rPr>
          <t>IN THE KETTLE</t>
        </r>
        <r>
          <rPr>
            <sz val="8"/>
            <color indexed="81"/>
            <rFont val="Tahoma"/>
            <family val="2"/>
          </rPr>
          <t xml:space="preserve"> 
exceeds 20 ppm.
</t>
        </r>
      </text>
    </comment>
    <comment ref="D15" authorId="0" shapeId="0" xr:uid="{00000000-0006-0000-0400-000024000000}">
      <text>
        <r>
          <rPr>
            <sz val="8"/>
            <color indexed="81"/>
            <rFont val="Tahoma"/>
            <family val="2"/>
          </rPr>
          <t xml:space="preserve">Magnesium is generally only desirable at concentrations less than 30 ppm. 
It is not necessary to add magnesium unless it is desired to enhance 
bitterness perception.  Adding magnesium is not required, even if 
indicated in the water profiles below.
This cell turns </t>
        </r>
        <r>
          <rPr>
            <b/>
            <sz val="8"/>
            <color indexed="17"/>
            <rFont val="Tahoma"/>
            <family val="2"/>
          </rPr>
          <t>GREEN</t>
        </r>
        <r>
          <rPr>
            <sz val="8"/>
            <color indexed="81"/>
            <rFont val="Tahoma"/>
            <family val="2"/>
          </rPr>
          <t xml:space="preserve"> when magnesium is less than 30 ppm and 
turns </t>
        </r>
        <r>
          <rPr>
            <b/>
            <sz val="8"/>
            <color indexed="10"/>
            <rFont val="Tahoma"/>
            <family val="2"/>
          </rPr>
          <t>RED</t>
        </r>
        <r>
          <rPr>
            <sz val="8"/>
            <color indexed="81"/>
            <rFont val="Tahoma"/>
            <family val="2"/>
          </rPr>
          <t xml:space="preserve"> above 40 ppm.
 </t>
        </r>
      </text>
    </comment>
    <comment ref="E15" authorId="0" shapeId="0" xr:uid="{00000000-0006-0000-0400-000025000000}">
      <text>
        <r>
          <rPr>
            <sz val="8"/>
            <color indexed="81"/>
            <rFont val="Tahoma"/>
            <family val="2"/>
          </rPr>
          <t xml:space="preserve">Sodium does not have an ideal range but should typically be 
below 100 ppm and never above 150 ppm for most beers.  
Low sodium is typically desirable for beer.
This cell turns </t>
        </r>
        <r>
          <rPr>
            <b/>
            <sz val="8"/>
            <color indexed="10"/>
            <rFont val="Tahoma"/>
            <family val="2"/>
          </rPr>
          <t>RED</t>
        </r>
        <r>
          <rPr>
            <sz val="8"/>
            <color indexed="81"/>
            <rFont val="Tahoma"/>
            <family val="2"/>
          </rPr>
          <t xml:space="preserve"> if sodium is above 150 ppm or sodium 
and sulfate are above 100 ppm.  This cell turns </t>
        </r>
        <r>
          <rPr>
            <b/>
            <sz val="8"/>
            <color indexed="53"/>
            <rFont val="Tahoma"/>
            <family val="2"/>
          </rPr>
          <t>ORANGE</t>
        </r>
        <r>
          <rPr>
            <sz val="8"/>
            <color indexed="81"/>
            <rFont val="Tahoma"/>
            <family val="2"/>
          </rPr>
          <t xml:space="preserve"> 
when sodium is above 50 ppm and turns </t>
        </r>
        <r>
          <rPr>
            <b/>
            <sz val="8"/>
            <color indexed="17"/>
            <rFont val="Tahoma"/>
            <family val="2"/>
          </rPr>
          <t>GREEN</t>
        </r>
        <r>
          <rPr>
            <sz val="8"/>
            <color indexed="81"/>
            <rFont val="Tahoma"/>
            <family val="2"/>
          </rPr>
          <t xml:space="preserve"> when 
below 50 ppm.
</t>
        </r>
      </text>
    </comment>
    <comment ref="F15" authorId="0" shapeId="0" xr:uid="{00000000-0006-0000-0400-000026000000}">
      <text>
        <r>
          <rPr>
            <sz val="8"/>
            <color indexed="81"/>
            <rFont val="Tahoma"/>
            <family val="2"/>
          </rPr>
          <t xml:space="preserve">Sulfate does not have an ideal range, but should generally be 
below 150 ppm unless the beer is highly hopped.  A maximum 
concentration of 350 ppm is recommended to avoid 'sulfury' 
aromas in the finished beer although much higher concentrations 
may be preferred by some tasters. 
This cell turns </t>
        </r>
        <r>
          <rPr>
            <b/>
            <sz val="8"/>
            <color indexed="53"/>
            <rFont val="Tahoma"/>
            <family val="2"/>
          </rPr>
          <t>ORANGE</t>
        </r>
        <r>
          <rPr>
            <sz val="8"/>
            <color indexed="81"/>
            <rFont val="Tahoma"/>
            <family val="2"/>
          </rPr>
          <t xml:space="preserve"> when sulfate is greater than 100 ppm 
and </t>
        </r>
        <r>
          <rPr>
            <b/>
            <sz val="8"/>
            <color indexed="17"/>
            <rFont val="Tahoma"/>
            <family val="2"/>
          </rPr>
          <t>GREEN</t>
        </r>
        <r>
          <rPr>
            <sz val="8"/>
            <color indexed="81"/>
            <rFont val="Tahoma"/>
            <family val="2"/>
          </rPr>
          <t xml:space="preserve"> when below 100 ppm.
</t>
        </r>
      </text>
    </comment>
    <comment ref="G15" authorId="0" shapeId="0" xr:uid="{00000000-0006-0000-0400-000027000000}">
      <text>
        <r>
          <rPr>
            <sz val="8"/>
            <color indexed="81"/>
            <rFont val="Tahoma"/>
            <family val="2"/>
          </rPr>
          <t xml:space="preserve">Chloride should not exceed 100 ppm for most beer 
and should be less than 100 ppm when sulfate is 
greater than 100 ppm.
This cell turns </t>
        </r>
        <r>
          <rPr>
            <b/>
            <sz val="8"/>
            <color indexed="52"/>
            <rFont val="Tahoma"/>
            <family val="2"/>
          </rPr>
          <t>ORANGE</t>
        </r>
        <r>
          <rPr>
            <sz val="8"/>
            <color indexed="81"/>
            <rFont val="Tahoma"/>
            <family val="2"/>
          </rPr>
          <t xml:space="preserve"> when both chloride and sulfate are above 100 ppm.  This indicates a potential for minerally flavor.
This cell turns </t>
        </r>
        <r>
          <rPr>
            <b/>
            <sz val="8"/>
            <color indexed="10"/>
            <rFont val="Tahoma"/>
            <family val="2"/>
          </rPr>
          <t>RED</t>
        </r>
        <r>
          <rPr>
            <sz val="8"/>
            <color indexed="81"/>
            <rFont val="Tahoma"/>
            <family val="2"/>
          </rPr>
          <t xml:space="preserve"> when chloride is above 170 ppm and sulfate is above 100 ppm. This indicates that flavor will be minerally.
This cell turns </t>
        </r>
        <r>
          <rPr>
            <b/>
            <sz val="8"/>
            <color indexed="17"/>
            <rFont val="Tahoma"/>
            <family val="2"/>
          </rPr>
          <t>GREEN</t>
        </r>
        <r>
          <rPr>
            <sz val="8"/>
            <color indexed="81"/>
            <rFont val="Tahoma"/>
            <family val="2"/>
          </rPr>
          <t xml:space="preserve"> when chloride is less than 100 ppm.
</t>
        </r>
      </text>
    </comment>
    <comment ref="H15" authorId="0" shapeId="0" xr:uid="{00000000-0006-0000-0400-000028000000}">
      <text>
        <r>
          <rPr>
            <b/>
            <sz val="8"/>
            <color indexed="81"/>
            <rFont val="Tahoma"/>
            <family val="2"/>
          </rPr>
          <t>NA (Not Applicable)</t>
        </r>
        <r>
          <rPr>
            <sz val="8"/>
            <color indexed="81"/>
            <rFont val="Tahoma"/>
            <family val="2"/>
          </rPr>
          <t xml:space="preserve"> is shown here because 
bicarbonate content in the finished water is not 
relevant since the acids produced in the mash 
and fermentation will neutralize a portion of the 
bicarbonate content. The low alkalinity sparging 
water also alters the overall content. Since that 
degree of neutralization may vary, it is not 
displayed here.
</t>
        </r>
      </text>
    </comment>
    <comment ref="N15" authorId="0" shapeId="0" xr:uid="{00000000-0006-0000-0400-000029000000}">
      <text>
        <r>
          <rPr>
            <sz val="8"/>
            <color indexed="81"/>
            <rFont val="Tahoma"/>
            <family val="2"/>
          </rPr>
          <t>The SO</t>
        </r>
        <r>
          <rPr>
            <vertAlign val="subscript"/>
            <sz val="8"/>
            <color indexed="81"/>
            <rFont val="Tahoma"/>
            <family val="2"/>
          </rPr>
          <t>4</t>
        </r>
        <r>
          <rPr>
            <sz val="8"/>
            <color indexed="81"/>
            <rFont val="Tahoma"/>
            <family val="2"/>
          </rPr>
          <t xml:space="preserve">/Cl ratio is most applicable when the 
</t>
        </r>
        <r>
          <rPr>
            <b/>
            <sz val="8"/>
            <color indexed="81"/>
            <rFont val="Tahoma"/>
            <family val="2"/>
          </rPr>
          <t>chloride content is between about 25 
and 100 ppm</t>
        </r>
        <r>
          <rPr>
            <sz val="8"/>
            <color indexed="81"/>
            <rFont val="Tahoma"/>
            <family val="2"/>
          </rPr>
          <t xml:space="preserve">.  This cell turns </t>
        </r>
        <r>
          <rPr>
            <b/>
            <sz val="8"/>
            <color indexed="53"/>
            <rFont val="Tahoma"/>
            <family val="2"/>
          </rPr>
          <t xml:space="preserve">Orange </t>
        </r>
        <r>
          <rPr>
            <sz val="8"/>
            <color indexed="81"/>
            <rFont val="Tahoma"/>
            <family val="2"/>
          </rPr>
          <t xml:space="preserve">to 
alert the user that the ratio may not be useful 
due to either very low or excessive Chloride 
ion levels.
</t>
        </r>
      </text>
    </comment>
    <comment ref="I16" authorId="0" shapeId="0" xr:uid="{00000000-0006-0000-0400-00002A000000}">
      <text>
        <r>
          <rPr>
            <sz val="8"/>
            <color indexed="81"/>
            <rFont val="Tahoma"/>
            <family val="2"/>
          </rPr>
          <t>Note that the</t>
        </r>
        <r>
          <rPr>
            <b/>
            <sz val="8"/>
            <color indexed="81"/>
            <rFont val="Tahoma"/>
            <family val="2"/>
          </rPr>
          <t xml:space="preserve"> Total Water Additions</t>
        </r>
        <r>
          <rPr>
            <sz val="8"/>
            <color indexed="81"/>
            <rFont val="Tahoma"/>
            <family val="2"/>
          </rPr>
          <t xml:space="preserve"> 
may not equal the </t>
        </r>
        <r>
          <rPr>
            <b/>
            <sz val="8"/>
            <color indexed="81"/>
            <rFont val="Tahoma"/>
            <family val="2"/>
          </rPr>
          <t xml:space="preserve">Total Batch Volume 
</t>
        </r>
        <r>
          <rPr>
            <sz val="8"/>
            <color indexed="81"/>
            <rFont val="Tahoma"/>
            <family val="2"/>
          </rPr>
          <t xml:space="preserve">due to losses such as grain absorption, 
kettle deadspace, tun deadspace, 
evaporation, etc.
</t>
        </r>
      </text>
    </comment>
    <comment ref="M16" authorId="0" shapeId="0" xr:uid="{00000000-0006-0000-0400-00002B000000}">
      <text>
        <r>
          <rPr>
            <sz val="8"/>
            <color indexed="81"/>
            <rFont val="Tahoma"/>
            <family val="2"/>
          </rPr>
          <t xml:space="preserve">Enter the intended post boil volume 
of the batch.  This is used to estimate 
the Beer Color on the Grain Bill Input 
sheet.
</t>
        </r>
        <r>
          <rPr>
            <b/>
            <sz val="8"/>
            <color indexed="81"/>
            <rFont val="Tahoma"/>
            <family val="2"/>
          </rPr>
          <t xml:space="preserve">
Total Batch Volume</t>
        </r>
        <r>
          <rPr>
            <sz val="8"/>
            <color indexed="81"/>
            <rFont val="Tahoma"/>
            <family val="2"/>
          </rPr>
          <t xml:space="preserve"> is NOT equal to the sum of Mash and Sparge Additions. It will be less than that volume.
</t>
        </r>
      </text>
    </comment>
    <comment ref="A17" authorId="0" shapeId="0" xr:uid="{00000000-0006-0000-0400-00002C000000}">
      <text>
        <r>
          <rPr>
            <sz val="8"/>
            <color indexed="81"/>
            <rFont val="Tahoma"/>
            <family val="2"/>
          </rPr>
          <t xml:space="preserve">This mash pH estimate is for the final stage of mashing 
(say more than 20 minutes after mashing in).  The 
mash pH may vary a tenth or two as the mashing continues.
</t>
        </r>
        <r>
          <rPr>
            <b/>
            <sz val="8"/>
            <color indexed="81"/>
            <rFont val="Tahoma"/>
            <family val="2"/>
          </rPr>
          <t>DO NOT OVER-REACT IF THE INITIAL pH READING IS 
OFF YOUR TARGET. IT TENDS TO CORRECT ITSELF
DURING THE MASH.</t>
        </r>
        <r>
          <rPr>
            <sz val="8"/>
            <color indexed="81"/>
            <rFont val="Tahoma"/>
            <family val="2"/>
          </rPr>
          <t xml:space="preserve">
Initial mash pH over 5.4 tends to fall during the mash and 
initial mash pH under 5.4 tends to rise during the mash. 
</t>
        </r>
      </text>
    </comment>
    <comment ref="B17" authorId="0" shapeId="0" xr:uid="{00000000-0006-0000-0400-00002D000000}">
      <text>
        <r>
          <rPr>
            <sz val="8"/>
            <color indexed="81"/>
            <rFont val="Tahoma"/>
            <family val="2"/>
          </rPr>
          <t xml:space="preserve">This pH value is taken from the </t>
        </r>
        <r>
          <rPr>
            <b/>
            <sz val="8"/>
            <color indexed="81"/>
            <rFont val="Tahoma"/>
            <family val="2"/>
          </rPr>
          <t xml:space="preserve">Grain Bill Input 
</t>
        </r>
        <r>
          <rPr>
            <sz val="8"/>
            <color indexed="81"/>
            <rFont val="Tahoma"/>
            <family val="2"/>
          </rPr>
          <t xml:space="preserve">sheet and is provided to allow the Brewer to see 
the effect of their water adjustments on the 
Estimated Mash pH without moving back and forth 
to the </t>
        </r>
        <r>
          <rPr>
            <b/>
            <sz val="8"/>
            <color indexed="81"/>
            <rFont val="Tahoma"/>
            <family val="2"/>
          </rPr>
          <t>Grain Bill Input</t>
        </r>
        <r>
          <rPr>
            <sz val="8"/>
            <color indexed="81"/>
            <rFont val="Tahoma"/>
            <family val="2"/>
          </rPr>
          <t xml:space="preserve"> sheet.  This pH estimate 
is </t>
        </r>
        <r>
          <rPr>
            <b/>
            <sz val="8"/>
            <color indexed="81"/>
            <rFont val="Tahoma"/>
            <family val="2"/>
          </rPr>
          <t>NOT</t>
        </r>
        <r>
          <rPr>
            <sz val="8"/>
            <color indexed="81"/>
            <rFont val="Tahoma"/>
            <family val="2"/>
          </rPr>
          <t xml:space="preserve"> correct until the User enters the proper 
grain and water information for the mash on the 
</t>
        </r>
        <r>
          <rPr>
            <b/>
            <sz val="8"/>
            <color indexed="81"/>
            <rFont val="Tahoma"/>
            <family val="2"/>
          </rPr>
          <t>Grain Bill Input</t>
        </r>
        <r>
          <rPr>
            <sz val="8"/>
            <color indexed="81"/>
            <rFont val="Tahoma"/>
            <family val="2"/>
          </rPr>
          <t xml:space="preserve"> sheet,   This cell turns </t>
        </r>
        <r>
          <rPr>
            <b/>
            <sz val="8"/>
            <color indexed="10"/>
            <rFont val="Tahoma"/>
            <family val="2"/>
          </rPr>
          <t xml:space="preserve">RED 
</t>
        </r>
        <r>
          <rPr>
            <sz val="8"/>
            <color indexed="81"/>
            <rFont val="Tahoma"/>
            <family val="2"/>
          </rPr>
          <t xml:space="preserve">if the mash pH is out of the recommended range 
and </t>
        </r>
        <r>
          <rPr>
            <b/>
            <sz val="8"/>
            <color indexed="53"/>
            <rFont val="Tahoma"/>
            <family val="2"/>
          </rPr>
          <t>ORANGE</t>
        </r>
        <r>
          <rPr>
            <sz val="8"/>
            <color indexed="81"/>
            <rFont val="Tahoma"/>
            <family val="2"/>
          </rPr>
          <t xml:space="preserve"> if the pH is at the range limits.
</t>
        </r>
      </text>
    </comment>
    <comment ref="I17" authorId="0" shapeId="0" xr:uid="{00000000-0006-0000-0400-00002E000000}">
      <text>
        <r>
          <rPr>
            <sz val="8"/>
            <color indexed="81"/>
            <rFont val="Tahoma"/>
            <family val="2"/>
          </rPr>
          <t xml:space="preserve">Enter the total volume of water to be used for mashing.  
This quantity is important for assessing the Acidity of 
the mash.
Include </t>
        </r>
        <r>
          <rPr>
            <b/>
            <sz val="8"/>
            <color indexed="81"/>
            <rFont val="Tahoma"/>
            <family val="2"/>
          </rPr>
          <t xml:space="preserve">ALL </t>
        </r>
        <r>
          <rPr>
            <sz val="8"/>
            <color indexed="81"/>
            <rFont val="Tahoma"/>
            <family val="2"/>
          </rPr>
          <t xml:space="preserve">Foundation Water or water under the 
Mash Tun's false bottom and water in recirculating 
piping and hoses in this volume.
</t>
        </r>
      </text>
    </comment>
    <comment ref="K17" authorId="0" shapeId="0" xr:uid="{00000000-0006-0000-0400-00002F000000}">
      <text>
        <r>
          <rPr>
            <sz val="8"/>
            <color indexed="81"/>
            <rFont val="Tahoma"/>
            <family val="2"/>
          </rPr>
          <t xml:space="preserve">Enter the total volume of sparge water to be created. 
</t>
        </r>
        <r>
          <rPr>
            <b/>
            <sz val="8"/>
            <color indexed="81"/>
            <rFont val="Tahoma"/>
            <family val="2"/>
          </rPr>
          <t xml:space="preserve">Do not </t>
        </r>
        <r>
          <rPr>
            <sz val="8"/>
            <color indexed="81"/>
            <rFont val="Tahoma"/>
            <family val="2"/>
          </rPr>
          <t xml:space="preserve">subtract any water volume that is unused or 
trapped in a deadspace.
If using No-Sparge brewing methods, set sparging 
volume to zero.
If your boil kettle produces evaporation loss of more 
than about 10 percent of the beginning volume, you 
can consider entering a smaller than actual volume 
for the sparging water to help reduce the added 
mineral quantity to your water and avoid excessive 
mineralization in the wort. 
</t>
        </r>
      </text>
    </comment>
    <comment ref="A19" authorId="0" shapeId="0" xr:uid="{00000000-0006-0000-0400-000030000000}">
      <text>
        <r>
          <rPr>
            <sz val="8"/>
            <color indexed="81"/>
            <rFont val="Tahoma"/>
            <family val="2"/>
          </rPr>
          <t xml:space="preserve">Add food-grade minerals 
to adjust ion content of water
</t>
        </r>
      </text>
    </comment>
    <comment ref="B19" authorId="0" shapeId="0" xr:uid="{00000000-0006-0000-0400-000031000000}">
      <text>
        <r>
          <rPr>
            <sz val="8"/>
            <color indexed="81"/>
            <rFont val="Tahoma"/>
            <family val="2"/>
          </rPr>
          <t xml:space="preserve">Grams of mineral added to each unit quantity of water.
The ADDITION cells will turn </t>
        </r>
        <r>
          <rPr>
            <b/>
            <sz val="8"/>
            <color indexed="10"/>
            <rFont val="Tahoma"/>
            <family val="2"/>
          </rPr>
          <t>RED</t>
        </r>
        <r>
          <rPr>
            <sz val="8"/>
            <color indexed="81"/>
            <rFont val="Tahoma"/>
            <family val="2"/>
          </rPr>
          <t xml:space="preserve"> if too much of a 
mineral is added and the Actual Water Adjustment 
of an ion that the mineral contains differs from the 
Target Water Adjustment by more than 10 ppm.  
MORE THAN ONE MINERAL CELL MAY TURN 
RED WHEN AN ION BECOMES EXCESSIVE.
Reduce the mineral addition amount for any mineral 
that shows a</t>
        </r>
        <r>
          <rPr>
            <b/>
            <sz val="8"/>
            <color indexed="10"/>
            <rFont val="Tahoma"/>
            <family val="2"/>
          </rPr>
          <t xml:space="preserve"> RED</t>
        </r>
        <r>
          <rPr>
            <sz val="8"/>
            <color indexed="81"/>
            <rFont val="Tahoma"/>
            <family val="2"/>
          </rPr>
          <t xml:space="preserve"> cell.  It is OK to ignore the warning 
if the brewer thinks the level will not be excessive.</t>
        </r>
        <r>
          <rPr>
            <sz val="9"/>
            <color indexed="81"/>
            <rFont val="Tahoma"/>
            <family val="2"/>
          </rPr>
          <t xml:space="preserve">
</t>
        </r>
      </text>
    </comment>
    <comment ref="A20" authorId="1" shapeId="0" xr:uid="{00000000-0006-0000-0400-000032000000}">
      <text>
        <r>
          <rPr>
            <sz val="8"/>
            <color indexed="81"/>
            <rFont val="Tahoma"/>
            <family val="2"/>
          </rPr>
          <t>Gypsum is highly soluble and 
well suited for enhancing 
bitterness and dryness perception 
to finished beer.
Adds Calcium and Sulfate to water. 
The calculation assumes the 
mineral is in the dihydrate (x 2H</t>
        </r>
        <r>
          <rPr>
            <vertAlign val="subscript"/>
            <sz val="8"/>
            <color indexed="81"/>
            <rFont val="Tahoma"/>
            <family val="2"/>
          </rPr>
          <t>2</t>
        </r>
        <r>
          <rPr>
            <sz val="8"/>
            <color indexed="81"/>
            <rFont val="Tahoma"/>
            <family val="2"/>
          </rPr>
          <t xml:space="preserve">O) 
form. This is the most common form.
</t>
        </r>
      </text>
    </comment>
    <comment ref="Q20" authorId="0" shapeId="0" xr:uid="{00000000-0006-0000-0400-000033000000}">
      <text>
        <r>
          <rPr>
            <sz val="8"/>
            <color indexed="81"/>
            <rFont val="Tahoma"/>
            <family val="2"/>
          </rPr>
          <t xml:space="preserve">Use this tool to convert specific gravity (SG) 
measurments for a calcium chloride solution 
to its Percent Strength.
The upper limit for hydrometers used by most 
homebrewers is a SG of about 1.170, so you 
may have to dilute the solution down to that 
gravity or lower in order to get an accurate 
reading. 
An alternative is to weigh a known volume of 
the solution and calculate the specific gravity 
from that measurement. (grams divided by 
milliliters)
</t>
        </r>
      </text>
    </comment>
    <comment ref="A21" authorId="0" shapeId="0" xr:uid="{00000000-0006-0000-0400-000034000000}">
      <text>
        <r>
          <rPr>
            <sz val="8"/>
            <color indexed="81"/>
            <rFont val="Tahoma"/>
            <family val="2"/>
          </rPr>
          <t xml:space="preserve">CaCl is highly soluble and effective at 
adding calcium without adding sulfate.  
The Dihydrate (x 2H2O) form is a 
typical solid form. 
Select the form used </t>
        </r>
        <r>
          <rPr>
            <b/>
            <sz val="8"/>
            <color indexed="81"/>
            <rFont val="Tahoma"/>
            <family val="2"/>
          </rPr>
          <t>Anhydrous</t>
        </r>
        <r>
          <rPr>
            <sz val="8"/>
            <color indexed="81"/>
            <rFont val="Tahoma"/>
            <family val="2"/>
          </rPr>
          <t>,</t>
        </r>
        <r>
          <rPr>
            <b/>
            <sz val="8"/>
            <color indexed="81"/>
            <rFont val="Tahoma"/>
            <family val="2"/>
          </rPr>
          <t xml:space="preserve"> 
Dihydrate</t>
        </r>
        <r>
          <rPr>
            <sz val="8"/>
            <color indexed="81"/>
            <rFont val="Tahoma"/>
            <family val="2"/>
          </rPr>
          <t>, or</t>
        </r>
        <r>
          <rPr>
            <b/>
            <sz val="8"/>
            <color indexed="81"/>
            <rFont val="Tahoma"/>
            <family val="2"/>
          </rPr>
          <t xml:space="preserve"> Liquid</t>
        </r>
        <r>
          <rPr>
            <sz val="8"/>
            <color indexed="81"/>
            <rFont val="Tahoma"/>
            <family val="2"/>
          </rPr>
          <t xml:space="preserve"> in the box 
at the right.
Adds Calcium and Chloride to water.</t>
        </r>
        <r>
          <rPr>
            <sz val="9"/>
            <color indexed="81"/>
            <rFont val="Tahoma"/>
            <family val="2"/>
          </rPr>
          <t xml:space="preserve">
</t>
        </r>
      </text>
    </comment>
    <comment ref="M21" authorId="0" shapeId="0" xr:uid="{00000000-0006-0000-0400-000035000000}">
      <text>
        <r>
          <rPr>
            <sz val="8"/>
            <color indexed="81"/>
            <rFont val="Tahoma"/>
            <family val="2"/>
          </rPr>
          <t>Click on cell and a selection box will appear.
Select the form of CaCl</t>
        </r>
        <r>
          <rPr>
            <vertAlign val="subscript"/>
            <sz val="8"/>
            <color indexed="81"/>
            <rFont val="Tahoma"/>
            <family val="2"/>
          </rPr>
          <t>2</t>
        </r>
        <r>
          <rPr>
            <sz val="8"/>
            <color indexed="81"/>
            <rFont val="Tahoma"/>
            <family val="2"/>
          </rPr>
          <t xml:space="preserve"> used for treatment. 
Selections are: </t>
        </r>
        <r>
          <rPr>
            <b/>
            <sz val="8"/>
            <color indexed="81"/>
            <rFont val="Tahoma"/>
            <family val="2"/>
          </rPr>
          <t>Anhydrous, Dihydrate, 
and Liquid</t>
        </r>
        <r>
          <rPr>
            <sz val="8"/>
            <color indexed="81"/>
            <rFont val="Tahoma"/>
            <family val="2"/>
          </rPr>
          <t xml:space="preserve">. 
</t>
        </r>
        <r>
          <rPr>
            <b/>
            <sz val="8"/>
            <color indexed="81"/>
            <rFont val="Tahoma"/>
            <family val="2"/>
          </rPr>
          <t xml:space="preserve">Anhydrous </t>
        </r>
        <r>
          <rPr>
            <sz val="8"/>
            <color indexed="81"/>
            <rFont val="Tahoma"/>
            <family val="2"/>
          </rPr>
          <t>form (x 0H</t>
        </r>
        <r>
          <rPr>
            <vertAlign val="subscript"/>
            <sz val="8"/>
            <color indexed="81"/>
            <rFont val="Tahoma"/>
            <family val="2"/>
          </rPr>
          <t>2</t>
        </r>
        <r>
          <rPr>
            <sz val="8"/>
            <color indexed="81"/>
            <rFont val="Tahoma"/>
            <family val="2"/>
          </rPr>
          <t xml:space="preserve">O) is </t>
        </r>
        <r>
          <rPr>
            <b/>
            <sz val="8"/>
            <color indexed="81"/>
            <rFont val="Tahoma"/>
            <family val="2"/>
          </rPr>
          <t>not</t>
        </r>
        <r>
          <rPr>
            <sz val="8"/>
            <color indexed="81"/>
            <rFont val="Tahoma"/>
            <family val="2"/>
          </rPr>
          <t xml:space="preserve"> the most 
common solid form of this mineral since it 
easily absorbs water from the atmosphere. 
However, selecting </t>
        </r>
        <r>
          <rPr>
            <b/>
            <sz val="8"/>
            <color indexed="81"/>
            <rFont val="Tahoma"/>
            <family val="2"/>
          </rPr>
          <t>Dihydrate</t>
        </r>
        <r>
          <rPr>
            <sz val="8"/>
            <color indexed="81"/>
            <rFont val="Tahoma"/>
            <family val="2"/>
          </rPr>
          <t xml:space="preserve"> may overdose 
the water with calcium and chloride if the 
mineral has some </t>
        </r>
        <r>
          <rPr>
            <b/>
            <sz val="8"/>
            <color indexed="81"/>
            <rFont val="Tahoma"/>
            <family val="2"/>
          </rPr>
          <t>Anhydrous</t>
        </r>
        <r>
          <rPr>
            <sz val="8"/>
            <color indexed="81"/>
            <rFont val="Tahoma"/>
            <family val="2"/>
          </rPr>
          <t xml:space="preserve"> form in it. 
It may be safer to select </t>
        </r>
        <r>
          <rPr>
            <b/>
            <sz val="8"/>
            <color indexed="81"/>
            <rFont val="Tahoma"/>
            <family val="2"/>
          </rPr>
          <t>Anhydrous</t>
        </r>
        <r>
          <rPr>
            <sz val="8"/>
            <color indexed="81"/>
            <rFont val="Tahoma"/>
            <family val="2"/>
          </rPr>
          <t xml:space="preserve"> in order 
to avoid overdosing.
If </t>
        </r>
        <r>
          <rPr>
            <b/>
            <sz val="8"/>
            <color indexed="81"/>
            <rFont val="Tahoma"/>
            <family val="2"/>
          </rPr>
          <t>calcium chloride solution</t>
        </r>
        <r>
          <rPr>
            <sz val="8"/>
            <color indexed="81"/>
            <rFont val="Tahoma"/>
            <family val="2"/>
          </rPr>
          <t xml:space="preserve"> is used, select 
</t>
        </r>
        <r>
          <rPr>
            <b/>
            <sz val="8"/>
            <color indexed="81"/>
            <rFont val="Tahoma"/>
            <family val="2"/>
          </rPr>
          <t>Liquid</t>
        </r>
        <r>
          <rPr>
            <sz val="8"/>
            <color indexed="81"/>
            <rFont val="Tahoma"/>
            <family val="2"/>
          </rPr>
          <t xml:space="preserve"> and enter the solution strength in the 
blue cell below. 
You can also create your own calcium chloride 
solution for use in brewing. Dissolve calcium 
chloride in distilled water and measure its 
specific gravity with a hydrometer. Use the 
calculator located to the right to convert the 
gravity measurement to a strength value.
</t>
        </r>
      </text>
    </comment>
    <comment ref="A22" authorId="1" shapeId="0" xr:uid="{00000000-0006-0000-0400-000036000000}">
      <text>
        <r>
          <rPr>
            <sz val="8"/>
            <color indexed="81"/>
            <rFont val="Tahoma"/>
            <family val="2"/>
          </rPr>
          <t>Use Epsom Salt sparingly to keep Mg content 
below 30 ppm for most beers.
Adds Magnesium and Sulfate to water. The 
calculation assumes the Heptahydrate (x 7H</t>
        </r>
        <r>
          <rPr>
            <vertAlign val="subscript"/>
            <sz val="8"/>
            <color indexed="81"/>
            <rFont val="Tahoma"/>
            <family val="2"/>
          </rPr>
          <t>2</t>
        </r>
        <r>
          <rPr>
            <sz val="8"/>
            <color indexed="81"/>
            <rFont val="Tahoma"/>
            <family val="2"/>
          </rPr>
          <t xml:space="preserve">O) 
form. This is the most common form.
</t>
        </r>
      </text>
    </comment>
    <comment ref="M22" authorId="0" shapeId="0" xr:uid="{00000000-0006-0000-0400-000037000000}">
      <text>
        <r>
          <rPr>
            <sz val="8"/>
            <color indexed="81"/>
            <rFont val="Tahoma"/>
            <family val="2"/>
          </rPr>
          <t>Enter the strength of Liquid Calcium Chloride solution. 
The strength typically ranges from 10 to 40 % w/w
For example: Enter 10% as 10 and not as 0.10.</t>
        </r>
        <r>
          <rPr>
            <sz val="9"/>
            <color indexed="81"/>
            <rFont val="Tahoma"/>
            <family val="2"/>
          </rPr>
          <t xml:space="preserve">
</t>
        </r>
        <r>
          <rPr>
            <sz val="8"/>
            <color indexed="81"/>
            <rFont val="Tahoma"/>
            <family val="2"/>
          </rPr>
          <t>The value in this cell only matters if</t>
        </r>
        <r>
          <rPr>
            <b/>
            <sz val="8"/>
            <color indexed="81"/>
            <rFont val="Tahoma"/>
            <family val="2"/>
          </rPr>
          <t xml:space="preserve"> Liquid</t>
        </r>
        <r>
          <rPr>
            <sz val="8"/>
            <color indexed="81"/>
            <rFont val="Tahoma"/>
            <family val="2"/>
          </rPr>
          <t xml:space="preserve"> is 
selected for the calcium chloride type shown above.
</t>
        </r>
      </text>
    </comment>
    <comment ref="Q22" authorId="0" shapeId="0" xr:uid="{00000000-0006-0000-0400-000038000000}">
      <text>
        <r>
          <rPr>
            <sz val="8"/>
            <color indexed="81"/>
            <rFont val="Tahoma"/>
            <family val="2"/>
          </rPr>
          <t>Insert the measured Specific Gravity (S.G.) 
of the calcium chloride solution here. 
(for example: 1.090)
The resulting</t>
        </r>
        <r>
          <rPr>
            <b/>
            <sz val="8"/>
            <color indexed="81"/>
            <rFont val="Tahoma"/>
            <family val="2"/>
          </rPr>
          <t xml:space="preserve"> % strength</t>
        </r>
        <r>
          <rPr>
            <sz val="8"/>
            <color indexed="81"/>
            <rFont val="Tahoma"/>
            <family val="2"/>
          </rPr>
          <t xml:space="preserve"> is shown below.
</t>
        </r>
      </text>
    </comment>
    <comment ref="A23" authorId="1" shapeId="0" xr:uid="{00000000-0006-0000-0400-000039000000}">
      <text>
        <r>
          <rPr>
            <sz val="8"/>
            <color indexed="81"/>
            <rFont val="Tahoma"/>
            <family val="2"/>
          </rPr>
          <t>MgCl</t>
        </r>
        <r>
          <rPr>
            <vertAlign val="subscript"/>
            <sz val="8"/>
            <color indexed="81"/>
            <rFont val="Tahoma"/>
            <family val="2"/>
          </rPr>
          <t>2</t>
        </r>
        <r>
          <rPr>
            <sz val="8"/>
            <color indexed="81"/>
            <rFont val="Tahoma"/>
            <family val="2"/>
          </rPr>
          <t xml:space="preserve"> is not commonly used for water adjustments, 
but it can be useful for creating some water profiles.
Adds Magnesium and Chloride to water. MgCl</t>
        </r>
        <r>
          <rPr>
            <vertAlign val="subscript"/>
            <sz val="8"/>
            <color indexed="81"/>
            <rFont val="Tahoma"/>
            <family val="2"/>
          </rPr>
          <t>2</t>
        </r>
        <r>
          <rPr>
            <sz val="8"/>
            <color indexed="81"/>
            <rFont val="Tahoma"/>
            <family val="2"/>
          </rPr>
          <t xml:space="preserve"> is 
assumed to be available in its hexahydrate (x 6H</t>
        </r>
        <r>
          <rPr>
            <vertAlign val="subscript"/>
            <sz val="8"/>
            <color indexed="81"/>
            <rFont val="Tahoma"/>
            <family val="2"/>
          </rPr>
          <t>2</t>
        </r>
        <r>
          <rPr>
            <sz val="8"/>
            <color indexed="81"/>
            <rFont val="Tahoma"/>
            <family val="2"/>
          </rPr>
          <t>O) 
form</t>
        </r>
      </text>
    </comment>
    <comment ref="Q23" authorId="0" shapeId="0" xr:uid="{00000000-0006-0000-0400-00003A000000}">
      <text>
        <r>
          <rPr>
            <b/>
            <sz val="8"/>
            <color indexed="81"/>
            <rFont val="Tahoma"/>
            <family val="2"/>
          </rPr>
          <t>Calculated Strength (%)</t>
        </r>
        <r>
          <rPr>
            <sz val="8"/>
            <color indexed="81"/>
            <rFont val="Tahoma"/>
            <family val="2"/>
          </rPr>
          <t xml:space="preserve">
Insert this </t>
        </r>
        <r>
          <rPr>
            <b/>
            <sz val="8"/>
            <color indexed="81"/>
            <rFont val="Tahoma"/>
            <family val="2"/>
          </rPr>
          <t xml:space="preserve">% strength </t>
        </r>
        <r>
          <rPr>
            <sz val="8"/>
            <color indexed="81"/>
            <rFont val="Tahoma"/>
            <family val="2"/>
          </rPr>
          <t>result in the 
Liquid CaCl</t>
        </r>
        <r>
          <rPr>
            <vertAlign val="subscript"/>
            <sz val="8"/>
            <color indexed="81"/>
            <rFont val="Tahoma"/>
            <family val="2"/>
          </rPr>
          <t>2</t>
        </r>
        <r>
          <rPr>
            <sz val="8"/>
            <color indexed="81"/>
            <rFont val="Tahoma"/>
            <family val="2"/>
          </rPr>
          <t xml:space="preserve"> Strength cell (</t>
        </r>
        <r>
          <rPr>
            <b/>
            <sz val="8"/>
            <color indexed="81"/>
            <rFont val="Tahoma"/>
            <family val="2"/>
          </rPr>
          <t>M21</t>
        </r>
        <r>
          <rPr>
            <sz val="8"/>
            <color indexed="81"/>
            <rFont val="Tahoma"/>
            <family val="2"/>
          </rPr>
          <t>)</t>
        </r>
        <r>
          <rPr>
            <sz val="9"/>
            <color indexed="81"/>
            <rFont val="Tahoma"/>
            <family val="2"/>
          </rPr>
          <t xml:space="preserve">
</t>
        </r>
      </text>
    </comment>
    <comment ref="A24" authorId="1" shapeId="0" xr:uid="{00000000-0006-0000-0400-00003B000000}">
      <text>
        <r>
          <rPr>
            <sz val="8"/>
            <color indexed="81"/>
            <rFont val="Tahoma"/>
            <family val="2"/>
          </rPr>
          <t xml:space="preserve">Non-iodized table salt is preferred.  
Keep sodium content below 150 ppm 
in most beers.
Adds Sodium and Chloride to water. 
Canning salt exists only in the 
Anhydrous form. 
</t>
        </r>
      </text>
    </comment>
    <comment ref="A25" authorId="1" shapeId="0" xr:uid="{00000000-0006-0000-0400-00003C000000}">
      <text>
        <r>
          <rPr>
            <sz val="8"/>
            <color indexed="81"/>
            <rFont val="Tahoma"/>
            <family val="2"/>
          </rPr>
          <t xml:space="preserve">Baking Soda is effective at adding alkalinity, 
but limit its use to keep the sodium content 
below 150 ppm.
Baking Soda should not be added to water 
if acid is also added since they counteract 
each other.  The bicarbonate cells will turn 
</t>
        </r>
        <r>
          <rPr>
            <b/>
            <sz val="8"/>
            <color indexed="10"/>
            <rFont val="Tahoma"/>
            <family val="2"/>
          </rPr>
          <t>RED</t>
        </r>
        <r>
          <rPr>
            <sz val="8"/>
            <color indexed="81"/>
            <rFont val="Tahoma"/>
            <family val="2"/>
          </rPr>
          <t xml:space="preserve"> if Baking Soda and an acid are input.
Adds Sodium and Bicarbonate to water. 
Baking soda is only available in its 
Anhydrous form.
</t>
        </r>
      </text>
    </comment>
    <comment ref="H25" authorId="0" shapeId="0" xr:uid="{00000000-0006-0000-0400-00003D000000}">
      <text>
        <r>
          <rPr>
            <sz val="8"/>
            <color indexed="81"/>
            <rFont val="Tahoma"/>
            <family val="2"/>
          </rPr>
          <t xml:space="preserve">The bicarbonate cells will turn </t>
        </r>
        <r>
          <rPr>
            <b/>
            <sz val="8"/>
            <color indexed="10"/>
            <rFont val="Tahoma"/>
            <family val="2"/>
          </rPr>
          <t>Red</t>
        </r>
        <r>
          <rPr>
            <sz val="8"/>
            <color indexed="81"/>
            <rFont val="Tahoma"/>
            <family val="2"/>
          </rPr>
          <t xml:space="preserve"> to alert the 
User that both acid (</t>
        </r>
        <r>
          <rPr>
            <b/>
            <sz val="8"/>
            <color indexed="81"/>
            <rFont val="Tahoma"/>
            <family val="2"/>
          </rPr>
          <t>acid malt too</t>
        </r>
        <r>
          <rPr>
            <sz val="8"/>
            <color indexed="81"/>
            <rFont val="Tahoma"/>
            <family val="2"/>
          </rPr>
          <t xml:space="preserve">) and alkaline 
additions have been input. Although this is OK, 
it is often best to remove one of those additions 
and use less of the other to achieve your pH target.
</t>
        </r>
      </text>
    </comment>
    <comment ref="K25" authorId="0" shapeId="0" xr:uid="{00000000-0006-0000-0400-00003E000000}">
      <text>
        <r>
          <rPr>
            <sz val="8"/>
            <color indexed="81"/>
            <rFont val="Tahoma"/>
            <family val="2"/>
          </rPr>
          <t xml:space="preserve">Do not add Alkalinity producing minerals to the sparge water.
</t>
        </r>
      </text>
    </comment>
    <comment ref="M25" authorId="1" shapeId="0" xr:uid="{00000000-0006-0000-0400-00003F000000}">
      <text>
        <r>
          <rPr>
            <sz val="8"/>
            <color indexed="81"/>
            <rFont val="Tahoma"/>
            <family val="2"/>
          </rPr>
          <t xml:space="preserve">Click on cell and a selection box will appear.
Select </t>
        </r>
        <r>
          <rPr>
            <b/>
            <sz val="8"/>
            <color indexed="81"/>
            <rFont val="Tahoma"/>
            <family val="2"/>
          </rPr>
          <t xml:space="preserve">Yes </t>
        </r>
        <r>
          <rPr>
            <sz val="8"/>
            <color indexed="81"/>
            <rFont val="Tahoma"/>
            <family val="2"/>
          </rPr>
          <t>to add all calcium to the mash. 
This can help depress mash pH and help 
elevate the mash calcium content to help 
remove oxalate from the wort. It also allows 
the brewer to achieve a reduced calcium 
content in the kettle which can be helpful in 
lager brewing.</t>
        </r>
        <r>
          <rPr>
            <sz val="9"/>
            <color indexed="81"/>
            <rFont val="Tahoma"/>
            <family val="2"/>
          </rPr>
          <t xml:space="preserve">
</t>
        </r>
      </text>
    </comment>
    <comment ref="A26" authorId="1" shapeId="0" xr:uid="{00000000-0006-0000-0400-000040000000}">
      <text>
        <r>
          <rPr>
            <sz val="8"/>
            <color indexed="81"/>
            <rFont val="Tahoma"/>
            <family val="2"/>
          </rPr>
          <t xml:space="preserve">Chalk has limited solubility (about 50 mg/L) in water and wort 
making it less suitable for adding alkalinity.  
</t>
        </r>
        <r>
          <rPr>
            <sz val="8"/>
            <color indexed="10"/>
            <rFont val="Tahoma"/>
            <family val="2"/>
          </rPr>
          <t xml:space="preserve">DO NOT USE CHALK FOR BREWING UNLESS IT HAS BEEN 
FULLY PRE-DISSOLVED INTO WATER WITH CO2. </t>
        </r>
        <r>
          <rPr>
            <sz val="8"/>
            <color indexed="81"/>
            <rFont val="Tahoma"/>
            <family val="2"/>
          </rPr>
          <t xml:space="preserve">
Chalk should not be added to water if acid is also added since 
they counteract each other.  The bicarbonate cells will turn 
</t>
        </r>
        <r>
          <rPr>
            <b/>
            <sz val="8"/>
            <color indexed="10"/>
            <rFont val="Tahoma"/>
            <family val="2"/>
          </rPr>
          <t>RED</t>
        </r>
        <r>
          <rPr>
            <sz val="8"/>
            <color indexed="81"/>
            <rFont val="Tahoma"/>
            <family val="2"/>
          </rPr>
          <t xml:space="preserve"> if Chalk and an acid are input in the same recipe.
Adds Calcium and Bicarbonate to water.  The carbonate 
content is converted to an equivalent bicarbonate content 
for use in the program.
</t>
        </r>
      </text>
    </comment>
    <comment ref="H26" authorId="0" shapeId="0" xr:uid="{00000000-0006-0000-0400-000041000000}">
      <text>
        <r>
          <rPr>
            <sz val="8"/>
            <color indexed="81"/>
            <rFont val="Tahoma"/>
            <family val="2"/>
          </rPr>
          <t xml:space="preserve">This is an equivalent bicarbonate concentration.
The bicarbonate cells will turn </t>
        </r>
        <r>
          <rPr>
            <sz val="8"/>
            <color indexed="10"/>
            <rFont val="Tahoma"/>
            <family val="2"/>
          </rPr>
          <t>Red</t>
        </r>
        <r>
          <rPr>
            <sz val="8"/>
            <color indexed="81"/>
            <rFont val="Tahoma"/>
            <family val="2"/>
          </rPr>
          <t xml:space="preserve"> to alert the 
User that both acid (</t>
        </r>
        <r>
          <rPr>
            <b/>
            <sz val="8"/>
            <color indexed="81"/>
            <rFont val="Tahoma"/>
            <family val="2"/>
          </rPr>
          <t>acid malt too</t>
        </r>
        <r>
          <rPr>
            <sz val="8"/>
            <color indexed="81"/>
            <rFont val="Tahoma"/>
            <family val="2"/>
          </rPr>
          <t xml:space="preserve">) and alkaline 
additions have been input. Although this is OK, 
it is often best to remove one of those additions 
and use less of the other to achieve your pH target.
</t>
        </r>
      </text>
    </comment>
    <comment ref="K26" authorId="0" shapeId="0" xr:uid="{00000000-0006-0000-0400-000042000000}">
      <text>
        <r>
          <rPr>
            <sz val="8"/>
            <color indexed="81"/>
            <rFont val="Tahoma"/>
            <family val="2"/>
          </rPr>
          <t xml:space="preserve">Do not add Alkalinity producing minerals to the sparge water.
</t>
        </r>
      </text>
    </comment>
    <comment ref="M26" authorId="0" shapeId="0" xr:uid="{00000000-0006-0000-0400-000043000000}">
      <text>
        <r>
          <rPr>
            <sz val="8"/>
            <color indexed="81"/>
            <rFont val="Tahoma"/>
            <family val="2"/>
          </rPr>
          <t xml:space="preserve">Click on cell and a selection box will appear.
If the Estimated Mash pH will be too low, 
adding hardness minerals </t>
        </r>
        <r>
          <rPr>
            <b/>
            <sz val="8"/>
            <color indexed="81"/>
            <rFont val="Tahoma"/>
            <family val="2"/>
          </rPr>
          <t>(Gypsum, 
Epsom Salt, Calcium Chloride, and 
Magnesium Chloride)</t>
        </r>
        <r>
          <rPr>
            <sz val="8"/>
            <color indexed="81"/>
            <rFont val="Tahoma"/>
            <family val="2"/>
          </rPr>
          <t xml:space="preserve"> directly to the 
Kettle instead of the Mash may increase 
the mash pH without the need to add 
Alkalinity-producing minerals. 
Select </t>
        </r>
        <r>
          <rPr>
            <b/>
            <sz val="8"/>
            <color indexed="81"/>
            <rFont val="Tahoma"/>
            <family val="2"/>
          </rPr>
          <t>Yes</t>
        </r>
        <r>
          <rPr>
            <sz val="8"/>
            <color indexed="81"/>
            <rFont val="Tahoma"/>
            <family val="2"/>
          </rPr>
          <t xml:space="preserve"> to see if adding the hardness 
minerals directly to the Kettle instead of 
the Mash will help increase the mash pH.  
Add the hardness minerals directly to the 
Kettle if this box is checked.  Input </t>
        </r>
        <r>
          <rPr>
            <b/>
            <sz val="8"/>
            <color indexed="81"/>
            <rFont val="Tahoma"/>
            <family val="2"/>
          </rPr>
          <t>No</t>
        </r>
        <r>
          <rPr>
            <sz val="8"/>
            <color indexed="81"/>
            <rFont val="Tahoma"/>
            <family val="2"/>
          </rPr>
          <t xml:space="preserve"> or 
reduce any Baking Soda, Chalk, or Pickling 
Lime additions if the mash pH is too high.  
This cell turns </t>
        </r>
        <r>
          <rPr>
            <b/>
            <sz val="8"/>
            <color indexed="10"/>
            <rFont val="Tahoma"/>
            <family val="2"/>
          </rPr>
          <t>RED</t>
        </r>
        <r>
          <rPr>
            <sz val="8"/>
            <color indexed="81"/>
            <rFont val="Tahoma"/>
            <family val="2"/>
          </rPr>
          <t xml:space="preserve"> to alert the Brewer 
that it is selected.
</t>
        </r>
        <r>
          <rPr>
            <b/>
            <sz val="8"/>
            <color indexed="81"/>
            <rFont val="Tahoma"/>
            <family val="2"/>
          </rPr>
          <t>Baking Soda, Pickling Lime, and Chalk</t>
        </r>
        <r>
          <rPr>
            <sz val="8"/>
            <color indexed="81"/>
            <rFont val="Tahoma"/>
            <family val="2"/>
          </rPr>
          <t xml:space="preserve"> 
should still be added only to the Mash, 
whether </t>
        </r>
        <r>
          <rPr>
            <b/>
            <sz val="8"/>
            <color indexed="81"/>
            <rFont val="Tahoma"/>
            <family val="2"/>
          </rPr>
          <t xml:space="preserve">Yes </t>
        </r>
        <r>
          <rPr>
            <sz val="8"/>
            <color indexed="81"/>
            <rFont val="Tahoma"/>
            <family val="2"/>
          </rPr>
          <t>or</t>
        </r>
        <r>
          <rPr>
            <b/>
            <sz val="8"/>
            <color indexed="81"/>
            <rFont val="Tahoma"/>
            <family val="2"/>
          </rPr>
          <t xml:space="preserve"> No </t>
        </r>
        <r>
          <rPr>
            <sz val="8"/>
            <color indexed="81"/>
            <rFont val="Tahoma"/>
            <family val="2"/>
          </rPr>
          <t xml:space="preserve">is selected here.
The kettle additions from the mash are 
highlighted in </t>
        </r>
        <r>
          <rPr>
            <b/>
            <sz val="8"/>
            <color indexed="53"/>
            <rFont val="Tahoma"/>
            <family val="2"/>
          </rPr>
          <t>ORANGE</t>
        </r>
        <r>
          <rPr>
            <sz val="8"/>
            <color indexed="81"/>
            <rFont val="Tahoma"/>
            <family val="2"/>
          </rPr>
          <t xml:space="preserve"> in the Total Mash 
Additions column. 
</t>
        </r>
      </text>
    </comment>
    <comment ref="A27" authorId="1" shapeId="0" xr:uid="{00000000-0006-0000-0400-000044000000}">
      <text>
        <r>
          <rPr>
            <sz val="8"/>
            <color indexed="81"/>
            <rFont val="Tahoma"/>
            <family val="2"/>
          </rPr>
          <t xml:space="preserve">Pickling Lime (aka Slaked Lime) is highly effective at adding alkalinity to water 
and wort and increasing pH.  This is a strong caustic and must be handled carefully.
</t>
        </r>
        <r>
          <rPr>
            <sz val="8"/>
            <color indexed="10"/>
            <rFont val="Tahoma"/>
            <family val="2"/>
          </rPr>
          <t>ADD PICKLING LIME IN THE MASH ONLY.  DO NOT ADD TO WATER ALONE 
SINCE THE pH MAY INCREASE TOO HIGH.</t>
        </r>
        <r>
          <rPr>
            <sz val="8"/>
            <color indexed="81"/>
            <rFont val="Tahoma"/>
            <family val="2"/>
          </rPr>
          <t xml:space="preserve">
Pickling Lime should not be added to water if acid is also added since they 
counteract each other.  The bicarbonate cells will turn </t>
        </r>
        <r>
          <rPr>
            <b/>
            <sz val="8"/>
            <color indexed="10"/>
            <rFont val="Tahoma"/>
            <family val="2"/>
          </rPr>
          <t>RED</t>
        </r>
        <r>
          <rPr>
            <sz val="8"/>
            <color indexed="81"/>
            <rFont val="Tahoma"/>
            <family val="2"/>
          </rPr>
          <t xml:space="preserve"> if Pickling Lime 
and an acid are input.
Adds Calcium and Hydroxide to water.  The hydroxide content is converted 
to an equivalent bicarbonate content for use in the program.
</t>
        </r>
      </text>
    </comment>
    <comment ref="H27" authorId="0" shapeId="0" xr:uid="{00000000-0006-0000-0400-000045000000}">
      <text>
        <r>
          <rPr>
            <sz val="8"/>
            <color indexed="81"/>
            <rFont val="Tahoma"/>
            <family val="2"/>
          </rPr>
          <t xml:space="preserve">This is an equivalent bicarbonate concentration.
The bicarbonate cells will turn </t>
        </r>
        <r>
          <rPr>
            <sz val="8"/>
            <color indexed="10"/>
            <rFont val="Tahoma"/>
            <family val="2"/>
          </rPr>
          <t>Red</t>
        </r>
        <r>
          <rPr>
            <sz val="8"/>
            <color indexed="81"/>
            <rFont val="Tahoma"/>
            <family val="2"/>
          </rPr>
          <t xml:space="preserve"> to alert the 
User that both acid (</t>
        </r>
        <r>
          <rPr>
            <b/>
            <sz val="8"/>
            <color indexed="81"/>
            <rFont val="Tahoma"/>
            <family val="2"/>
          </rPr>
          <t>acid malt too</t>
        </r>
        <r>
          <rPr>
            <sz val="8"/>
            <color indexed="81"/>
            <rFont val="Tahoma"/>
            <family val="2"/>
          </rPr>
          <t xml:space="preserve">) and alkaline 
additions have been input. Although this is OK, 
it is often best to remove one of those additions 
and use less of the other to achieve your pH target.
</t>
        </r>
      </text>
    </comment>
    <comment ref="K27" authorId="0" shapeId="0" xr:uid="{00000000-0006-0000-0400-000046000000}">
      <text>
        <r>
          <rPr>
            <sz val="8"/>
            <color indexed="81"/>
            <rFont val="Tahoma"/>
            <family val="2"/>
          </rPr>
          <t xml:space="preserve">Do not add Alkalinity producing minerals to the sparge water.
</t>
        </r>
      </text>
    </comment>
    <comment ref="M27" authorId="0" shapeId="0" xr:uid="{00000000-0006-0000-0400-000047000000}">
      <text>
        <r>
          <rPr>
            <sz val="8"/>
            <color indexed="81"/>
            <rFont val="Tahoma"/>
            <family val="2"/>
          </rPr>
          <t xml:space="preserve">Click on cell and a selection box will appear.
Select </t>
        </r>
        <r>
          <rPr>
            <b/>
            <sz val="8"/>
            <color indexed="81"/>
            <rFont val="Tahoma"/>
            <family val="2"/>
          </rPr>
          <t xml:space="preserve">Yes </t>
        </r>
        <r>
          <rPr>
            <sz val="8"/>
            <color indexed="81"/>
            <rFont val="Tahoma"/>
            <family val="2"/>
          </rPr>
          <t>to automatically add Gypsum and 
CaCl</t>
        </r>
        <r>
          <rPr>
            <vertAlign val="subscript"/>
            <sz val="8"/>
            <color indexed="81"/>
            <rFont val="Tahoma"/>
            <family val="2"/>
          </rPr>
          <t>2</t>
        </r>
        <r>
          <rPr>
            <sz val="8"/>
            <color indexed="81"/>
            <rFont val="Tahoma"/>
            <family val="2"/>
          </rPr>
          <t xml:space="preserve"> to Sparge Water additions to supplement 
Calcium concentration when Chalk or Pickling 
Lime are deleted from Sparge Water.  This may 
be desirable if the Brewer's water has Calcium 
content below 40 ppm.  The added Gypsum and 
CaCl2 quantities maintain the Brewer's desired 
Sulfate/Chloride ratio.
This cell turns </t>
        </r>
        <r>
          <rPr>
            <b/>
            <sz val="8"/>
            <color indexed="10"/>
            <rFont val="Tahoma"/>
            <family val="2"/>
          </rPr>
          <t>RED</t>
        </r>
        <r>
          <rPr>
            <sz val="8"/>
            <color indexed="81"/>
            <rFont val="Tahoma"/>
            <family val="2"/>
          </rPr>
          <t xml:space="preserve"> to alert the Brewer that this 
option is selected.
If a CIRCULAR REFERENCE warning is displayed, 
go to File/Options/Formulas and click 
'Enable Interative Calculation' to resolve the problem.
</t>
        </r>
      </text>
    </comment>
    <comment ref="A28" authorId="1" shapeId="0" xr:uid="{00000000-0006-0000-0400-000048000000}">
      <text>
        <r>
          <rPr>
            <b/>
            <sz val="8"/>
            <color indexed="81"/>
            <rFont val="Tahoma"/>
            <family val="2"/>
          </rPr>
          <t>THIS addition is in ppm terms and not grams/volume as 
for the other additions listed above.</t>
        </r>
        <r>
          <rPr>
            <sz val="8"/>
            <color indexed="81"/>
            <rFont val="Tahoma"/>
            <family val="2"/>
          </rPr>
          <t xml:space="preserve">
</t>
        </r>
        <r>
          <rPr>
            <b/>
            <sz val="8"/>
            <color indexed="81"/>
            <rFont val="Tahoma"/>
            <family val="2"/>
          </rPr>
          <t xml:space="preserve">
Sodium Metabisulfite (SMB)</t>
        </r>
        <r>
          <rPr>
            <sz val="8"/>
            <color indexed="81"/>
            <rFont val="Tahoma"/>
            <family val="2"/>
          </rPr>
          <t xml:space="preserve"> is used as an oxygen scavenger 
to reduce dissolved oxygen in the wort. It oxidizes to sodium 
and sulfate ions. 
It requires about 6 ppm SMB to eliminate 1 ppm dissolved oxygen. 
At room temperature, fresh water can contain about 8 or 9 ppm 
oxygen. At mash temperature, that content drops to about 4 ppm.
Preboiling the water and avoiding any subsequent splashing or 
mixing can reduce the oxygen content to near zero. </t>
        </r>
        <r>
          <rPr>
            <b/>
            <sz val="8"/>
            <color indexed="81"/>
            <rFont val="Tahoma"/>
            <family val="2"/>
          </rPr>
          <t>Preboiling 
or deaerating  is highly recommended!</t>
        </r>
        <r>
          <rPr>
            <sz val="8"/>
            <color indexed="81"/>
            <rFont val="Tahoma"/>
            <family val="2"/>
          </rPr>
          <t xml:space="preserve">
Typical SMB dosing for MASHING WATER ranges from 
10 to 60 ppm. This calculation assumes SPARGING WATER 
is always dosed with SMB at 5 ppm over the mashing dose.
Enter 10 ppm SMB dose for systems that have extraordinary 
oxygen reduction measures including mash caps, 
deoxygenated water, and no splashing or mixing. 
More typical brewing systems might use the upper end of the 
SMB dosing range.
Be aware that SMB tends to make the perception of roast flavors in beer harsher. Reduction of roast quantities may be necessary to achieve your intended flavor balance.
</t>
        </r>
      </text>
    </comment>
    <comment ref="B28" authorId="1" shapeId="0" xr:uid="{00000000-0006-0000-0400-000049000000}">
      <text>
        <r>
          <rPr>
            <sz val="8"/>
            <color indexed="81"/>
            <rFont val="Tahoma"/>
            <family val="2"/>
          </rPr>
          <t xml:space="preserve">Enter a SMB dose based on the Oxygen Pickup rate of your system and procedures. </t>
        </r>
        <r>
          <rPr>
            <b/>
            <sz val="9"/>
            <color indexed="81"/>
            <rFont val="Tahoma"/>
            <family val="2"/>
          </rPr>
          <t xml:space="preserve">
</t>
        </r>
        <r>
          <rPr>
            <b/>
            <sz val="8"/>
            <color indexed="81"/>
            <rFont val="Tahoma"/>
            <family val="2"/>
          </rPr>
          <t xml:space="preserve">10 ppm is appropriate when oxygen contact is low.
60 ppm is appropriate when oxygen contact is high. </t>
        </r>
        <r>
          <rPr>
            <sz val="9"/>
            <color indexed="81"/>
            <rFont val="Tahoma"/>
            <family val="2"/>
          </rPr>
          <t xml:space="preserve">
Vary your dose based on those limits. </t>
        </r>
      </text>
    </comment>
    <comment ref="A29" authorId="0" shapeId="0" xr:uid="{00000000-0006-0000-0400-00004A000000}">
      <text>
        <r>
          <rPr>
            <sz val="8"/>
            <color indexed="81"/>
            <rFont val="Tahoma"/>
            <family val="2"/>
          </rPr>
          <t xml:space="preserve">Add acid to mash to reduce bicarbonate concentration.  
Use Food-Grade acid when available. Laboratory-Reagent 
grade acid may be an acceptable alternative when 
food-grade acid is unavailable.
</t>
        </r>
      </text>
    </comment>
    <comment ref="M30" authorId="1" shapeId="0" xr:uid="{00000000-0006-0000-0400-00004B000000}">
      <text>
        <r>
          <rPr>
            <sz val="8"/>
            <color indexed="81"/>
            <rFont val="Tahoma"/>
            <family val="2"/>
          </rPr>
          <t xml:space="preserve">Anion concentrations from acid additions are 
shown for mashing and sparging waters. 
These concentrations are only a concern if 
they exceed an anion's taste threshold.
Review the </t>
        </r>
        <r>
          <rPr>
            <b/>
            <sz val="8"/>
            <color indexed="81"/>
            <rFont val="Tahoma"/>
            <family val="2"/>
          </rPr>
          <t xml:space="preserve">Adjustment Summary </t>
        </r>
        <r>
          <rPr>
            <sz val="8"/>
            <color indexed="81"/>
            <rFont val="Tahoma"/>
            <family val="2"/>
          </rPr>
          <t>page 
to check their overall concentration in the 
kettle and potential taste warnings.</t>
        </r>
        <r>
          <rPr>
            <sz val="9"/>
            <color indexed="81"/>
            <rFont val="Tahoma"/>
            <family val="2"/>
          </rPr>
          <t xml:space="preserve">
</t>
        </r>
      </text>
    </comment>
    <comment ref="A31" authorId="1" shapeId="0" xr:uid="{00000000-0006-0000-0400-00004C000000}">
      <text>
        <r>
          <rPr>
            <sz val="8"/>
            <color indexed="81"/>
            <rFont val="Tahoma"/>
            <family val="2"/>
          </rPr>
          <t>Select acid type from drop-down box. 
Also set the Strength parameters, to the right.</t>
        </r>
        <r>
          <rPr>
            <sz val="9"/>
            <color indexed="81"/>
            <rFont val="Tahoma"/>
            <family val="2"/>
          </rPr>
          <t xml:space="preserve">
</t>
        </r>
      </text>
    </comment>
    <comment ref="D31" authorId="1" shapeId="0" xr:uid="{00000000-0006-0000-0400-00004D000000}">
      <text>
        <r>
          <rPr>
            <sz val="8"/>
            <color indexed="81"/>
            <rFont val="Tahoma"/>
            <family val="2"/>
          </rPr>
          <t>Enter the numeric strength value that 
is reported for your acid. 
Acid strength reported as Percent should 
be entered as a whole number. Example: 
88% acid should be entered as 88 and 
not as 0.88</t>
        </r>
        <r>
          <rPr>
            <sz val="9"/>
            <color indexed="81"/>
            <rFont val="Tahoma"/>
            <family val="2"/>
          </rPr>
          <t xml:space="preserve">
</t>
        </r>
      </text>
    </comment>
    <comment ref="E31" authorId="1" shapeId="0" xr:uid="{00000000-0006-0000-0400-00004E000000}">
      <text>
        <r>
          <rPr>
            <sz val="8"/>
            <color indexed="81"/>
            <rFont val="Tahoma"/>
            <family val="2"/>
          </rPr>
          <t xml:space="preserve">Click cell to display drop-down box 
with acid strength parameters: 
percentage, normality, molarity, 
and solid. </t>
        </r>
        <r>
          <rPr>
            <sz val="9"/>
            <color indexed="81"/>
            <rFont val="Tahoma"/>
            <family val="2"/>
          </rPr>
          <t xml:space="preserve">
</t>
        </r>
      </text>
    </comment>
    <comment ref="H31" authorId="0" shapeId="0" xr:uid="{00000000-0006-0000-0400-00004F000000}">
      <text>
        <r>
          <rPr>
            <sz val="8"/>
            <color indexed="81"/>
            <rFont val="Tahoma"/>
            <family val="2"/>
          </rPr>
          <t xml:space="preserve">This is an equivalent concentration of 
neutralized bicarbonate. This is shown 
as a negative value.
If both an acid and alkali are input on 
this sheet, the bicarbonate cells will 
turn </t>
        </r>
        <r>
          <rPr>
            <b/>
            <sz val="8"/>
            <color indexed="10"/>
            <rFont val="Tahoma"/>
            <family val="2"/>
          </rPr>
          <t>Red</t>
        </r>
        <r>
          <rPr>
            <sz val="8"/>
            <color indexed="10"/>
            <rFont val="Tahoma"/>
            <family val="2"/>
          </rPr>
          <t xml:space="preserve"> </t>
        </r>
        <r>
          <rPr>
            <sz val="8"/>
            <color indexed="81"/>
            <rFont val="Tahoma"/>
            <family val="2"/>
          </rPr>
          <t>to alert the User that both 
acid and alkaline additions have been 
input. Although this is OK, it is often 
best to remove one of those additions 
and use less of the other to achieve 
your pH target.</t>
        </r>
        <r>
          <rPr>
            <sz val="9"/>
            <color indexed="81"/>
            <rFont val="Tahoma"/>
            <family val="2"/>
          </rPr>
          <t xml:space="preserve">
</t>
        </r>
      </text>
    </comment>
    <comment ref="A33" authorId="1" shapeId="0" xr:uid="{00000000-0006-0000-0400-000050000000}">
      <text>
        <r>
          <rPr>
            <sz val="8"/>
            <color indexed="81"/>
            <rFont val="Tahoma"/>
            <family val="2"/>
          </rPr>
          <t>Select acid type from drop-down box. 
Also set the Strength parameters, to the right.</t>
        </r>
        <r>
          <rPr>
            <sz val="9"/>
            <color indexed="81"/>
            <rFont val="Tahoma"/>
            <family val="2"/>
          </rPr>
          <t xml:space="preserve">
</t>
        </r>
      </text>
    </comment>
    <comment ref="D33" authorId="1" shapeId="0" xr:uid="{00000000-0006-0000-0400-000051000000}">
      <text>
        <r>
          <rPr>
            <sz val="8"/>
            <color indexed="81"/>
            <rFont val="Tahoma"/>
            <family val="2"/>
          </rPr>
          <t>Enter the numeric strength value that 
is reported for your acid. 
Acid strength reported as Percent should 
be entered as a whole number. Example: 
88% acid should be entered as 88 and 
not as 0.88</t>
        </r>
        <r>
          <rPr>
            <sz val="9"/>
            <color indexed="81"/>
            <rFont val="Tahoma"/>
            <family val="2"/>
          </rPr>
          <t xml:space="preserve">
</t>
        </r>
      </text>
    </comment>
    <comment ref="E33" authorId="1" shapeId="0" xr:uid="{00000000-0006-0000-0400-000052000000}">
      <text>
        <r>
          <rPr>
            <sz val="8"/>
            <color indexed="81"/>
            <rFont val="Tahoma"/>
            <family val="2"/>
          </rPr>
          <t xml:space="preserve">Click cell to display drop-down box 
with acid strength parameters: 
percentage, normality, molarity, 
and solid. </t>
        </r>
        <r>
          <rPr>
            <sz val="9"/>
            <color indexed="81"/>
            <rFont val="Tahoma"/>
            <family val="2"/>
          </rPr>
          <t xml:space="preserve">
</t>
        </r>
      </text>
    </comment>
    <comment ref="H33" authorId="0" shapeId="0" xr:uid="{00000000-0006-0000-0400-000053000000}">
      <text>
        <r>
          <rPr>
            <sz val="8"/>
            <color indexed="81"/>
            <rFont val="Tahoma"/>
            <family val="2"/>
          </rPr>
          <t xml:space="preserve">This is an equivalent concentration 
of neutralized bicarbonate. This is 
shown as a negative value.
If both an acid and alkali are input 
on this sheet, the bicarbonate cells 
will turn </t>
        </r>
        <r>
          <rPr>
            <b/>
            <sz val="8"/>
            <color indexed="10"/>
            <rFont val="Tahoma"/>
            <family val="2"/>
          </rPr>
          <t>Red</t>
        </r>
        <r>
          <rPr>
            <sz val="8"/>
            <color indexed="81"/>
            <rFont val="Tahoma"/>
            <family val="2"/>
          </rPr>
          <t xml:space="preserve"> to alert the User that 
both acid and alkaline additions 
have been input. Although this is 
OK, it is often best to remove one 
of those additions and use less of 
the other to achieve your pH target.</t>
        </r>
        <r>
          <rPr>
            <sz val="9"/>
            <color indexed="81"/>
            <rFont val="Tahoma"/>
            <family val="2"/>
          </rPr>
          <t xml:space="preserve">
</t>
        </r>
      </text>
    </comment>
    <comment ref="A35" authorId="1" shapeId="0" xr:uid="{00000000-0006-0000-0400-000054000000}">
      <text>
        <r>
          <rPr>
            <sz val="8"/>
            <color indexed="81"/>
            <rFont val="Tahoma"/>
            <family val="2"/>
          </rPr>
          <t xml:space="preserve">This acid selection is made on the 
</t>
        </r>
        <r>
          <rPr>
            <b/>
            <sz val="8"/>
            <color indexed="81"/>
            <rFont val="Tahoma"/>
            <family val="2"/>
          </rPr>
          <t xml:space="preserve">Sparge Acidification </t>
        </r>
        <r>
          <rPr>
            <sz val="8"/>
            <color indexed="81"/>
            <rFont val="Tahoma"/>
            <family val="2"/>
          </rPr>
          <t>sheet</t>
        </r>
        <r>
          <rPr>
            <sz val="9"/>
            <color indexed="81"/>
            <rFont val="Tahoma"/>
            <family val="2"/>
          </rPr>
          <t xml:space="preserve">
</t>
        </r>
      </text>
    </comment>
    <comment ref="K35" authorId="0" shapeId="0" xr:uid="{00000000-0006-0000-0400-000055000000}">
      <text>
        <r>
          <rPr>
            <sz val="8"/>
            <color indexed="81"/>
            <rFont val="Tahoma"/>
            <family val="2"/>
          </rPr>
          <t xml:space="preserve">If the Water Volume input on the 
</t>
        </r>
        <r>
          <rPr>
            <b/>
            <sz val="8"/>
            <color indexed="81"/>
            <rFont val="Tahoma"/>
            <family val="2"/>
          </rPr>
          <t>Sparge Acidification</t>
        </r>
        <r>
          <rPr>
            <sz val="8"/>
            <color indexed="81"/>
            <rFont val="Tahoma"/>
            <family val="2"/>
          </rPr>
          <t xml:space="preserve"> sheet is 1 unit, 
the acid amount from that sheet is 
multiplied by the sparge water volume 
that was input on the</t>
        </r>
        <r>
          <rPr>
            <b/>
            <sz val="8"/>
            <color indexed="81"/>
            <rFont val="Tahoma"/>
            <family val="2"/>
          </rPr>
          <t xml:space="preserve"> Water Adjustment 
</t>
        </r>
        <r>
          <rPr>
            <sz val="8"/>
            <color indexed="81"/>
            <rFont val="Tahoma"/>
            <family val="2"/>
          </rPr>
          <t xml:space="preserve">sheet. If the water volume on the 
</t>
        </r>
        <r>
          <rPr>
            <b/>
            <sz val="8"/>
            <color indexed="81"/>
            <rFont val="Tahoma"/>
            <family val="2"/>
          </rPr>
          <t>Sparge Adjustment</t>
        </r>
        <r>
          <rPr>
            <sz val="8"/>
            <color indexed="81"/>
            <rFont val="Tahoma"/>
            <family val="2"/>
          </rPr>
          <t xml:space="preserve"> sheet is not 1 unit, 
the acid amount from the</t>
        </r>
        <r>
          <rPr>
            <b/>
            <sz val="8"/>
            <color indexed="81"/>
            <rFont val="Tahoma"/>
            <family val="2"/>
          </rPr>
          <t xml:space="preserve"> 
Sparge Adjustment</t>
        </r>
        <r>
          <rPr>
            <sz val="8"/>
            <color indexed="81"/>
            <rFont val="Tahoma"/>
            <family val="2"/>
          </rPr>
          <t xml:space="preserve"> sheet is shown here.
 </t>
        </r>
      </text>
    </comment>
    <comment ref="A37" authorId="1" shapeId="0" xr:uid="{00000000-0006-0000-0400-000056000000}">
      <text>
        <r>
          <rPr>
            <sz val="8"/>
            <color indexed="81"/>
            <rFont val="Tahoma"/>
            <family val="2"/>
          </rPr>
          <t>This acid selection is made on the</t>
        </r>
        <r>
          <rPr>
            <b/>
            <sz val="8"/>
            <color indexed="81"/>
            <rFont val="Tahoma"/>
            <family val="2"/>
          </rPr>
          <t xml:space="preserve"> 
Sparge Acidification </t>
        </r>
        <r>
          <rPr>
            <sz val="8"/>
            <color indexed="81"/>
            <rFont val="Tahoma"/>
            <family val="2"/>
          </rPr>
          <t xml:space="preserve">sheet
</t>
        </r>
      </text>
    </comment>
    <comment ref="K37" authorId="0" shapeId="0" xr:uid="{00000000-0006-0000-0400-000057000000}">
      <text>
        <r>
          <rPr>
            <sz val="8"/>
            <color indexed="81"/>
            <rFont val="Tahoma"/>
            <family val="2"/>
          </rPr>
          <t xml:space="preserve">If the Water Volume input on the 
</t>
        </r>
        <r>
          <rPr>
            <b/>
            <sz val="8"/>
            <color indexed="81"/>
            <rFont val="Tahoma"/>
            <family val="2"/>
          </rPr>
          <t>Sparge Acidification</t>
        </r>
        <r>
          <rPr>
            <sz val="8"/>
            <color indexed="81"/>
            <rFont val="Tahoma"/>
            <family val="2"/>
          </rPr>
          <t xml:space="preserve"> sheet is 1 unit, 
the acid amount from that sheet is 
multiplied by the sparge water volume 
that was input on the</t>
        </r>
        <r>
          <rPr>
            <b/>
            <sz val="8"/>
            <color indexed="81"/>
            <rFont val="Tahoma"/>
            <family val="2"/>
          </rPr>
          <t xml:space="preserve"> Water Adjustment 
</t>
        </r>
        <r>
          <rPr>
            <sz val="8"/>
            <color indexed="81"/>
            <rFont val="Tahoma"/>
            <family val="2"/>
          </rPr>
          <t xml:space="preserve">sheet. If the water volume on the 
</t>
        </r>
        <r>
          <rPr>
            <b/>
            <sz val="8"/>
            <color indexed="81"/>
            <rFont val="Tahoma"/>
            <family val="2"/>
          </rPr>
          <t>Sparge Adjustment</t>
        </r>
        <r>
          <rPr>
            <sz val="8"/>
            <color indexed="81"/>
            <rFont val="Tahoma"/>
            <family val="2"/>
          </rPr>
          <t xml:space="preserve"> sheet is not 1 unit, 
the acid amount from the</t>
        </r>
        <r>
          <rPr>
            <b/>
            <sz val="8"/>
            <color indexed="81"/>
            <rFont val="Tahoma"/>
            <family val="2"/>
          </rPr>
          <t xml:space="preserve"> 
Sparge Adjustment</t>
        </r>
        <r>
          <rPr>
            <sz val="8"/>
            <color indexed="81"/>
            <rFont val="Tahoma"/>
            <family val="2"/>
          </rPr>
          <t xml:space="preserve"> sheet is shown here.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martin.brungard</author>
  </authors>
  <commentList>
    <comment ref="C2" authorId="0" shapeId="0" xr:uid="{00000000-0006-0000-0500-000001000000}">
      <text>
        <r>
          <rPr>
            <sz val="9"/>
            <color indexed="81"/>
            <rFont val="Tahoma"/>
            <family val="2"/>
          </rPr>
          <t xml:space="preserve">Beer Name is entered on </t>
        </r>
        <r>
          <rPr>
            <b/>
            <sz val="9"/>
            <color indexed="81"/>
            <rFont val="Tahoma"/>
            <family val="2"/>
          </rPr>
          <t xml:space="preserve">Water Adjustment </t>
        </r>
        <r>
          <rPr>
            <sz val="9"/>
            <color indexed="81"/>
            <rFont val="Tahoma"/>
            <family val="2"/>
          </rPr>
          <t>sheet</t>
        </r>
      </text>
    </comment>
    <comment ref="A3" authorId="0" shapeId="0" xr:uid="{00000000-0006-0000-0500-000002000000}">
      <text>
        <r>
          <rPr>
            <sz val="8"/>
            <color indexed="81"/>
            <rFont val="Tahoma"/>
            <family val="2"/>
          </rPr>
          <t>This sheet compiles all the water adjustment information onto a single sheet for easy reference and printing.</t>
        </r>
      </text>
    </comment>
    <comment ref="A5" authorId="0" shapeId="0" xr:uid="{00000000-0006-0000-0500-000003000000}">
      <text>
        <r>
          <rPr>
            <sz val="8"/>
            <color indexed="81"/>
            <rFont val="Tahoma"/>
            <family val="2"/>
          </rPr>
          <t>This is the profile of the tap water. This information is taken from the water profile entered on the</t>
        </r>
        <r>
          <rPr>
            <b/>
            <sz val="8"/>
            <color indexed="81"/>
            <rFont val="Tahoma"/>
            <family val="2"/>
          </rPr>
          <t xml:space="preserve"> Water Report Input</t>
        </r>
        <r>
          <rPr>
            <sz val="8"/>
            <color indexed="81"/>
            <rFont val="Tahoma"/>
            <family val="2"/>
          </rPr>
          <t xml:space="preserve"> sheet.</t>
        </r>
      </text>
    </comment>
    <comment ref="A6" authorId="0" shapeId="0" xr:uid="{00000000-0006-0000-0500-000004000000}">
      <text>
        <r>
          <rPr>
            <sz val="8"/>
            <color indexed="81"/>
            <rFont val="Tahoma"/>
            <family val="2"/>
          </rPr>
          <t xml:space="preserve">This is the water profile in the mash tun. This information is taken from the water profile developed on the </t>
        </r>
        <r>
          <rPr>
            <b/>
            <sz val="8"/>
            <color indexed="81"/>
            <rFont val="Tahoma"/>
            <family val="2"/>
          </rPr>
          <t>Water Adjustment</t>
        </r>
        <r>
          <rPr>
            <sz val="8"/>
            <color indexed="81"/>
            <rFont val="Tahoma"/>
            <family val="2"/>
          </rPr>
          <t xml:space="preserve"> sheet.</t>
        </r>
        <r>
          <rPr>
            <sz val="9"/>
            <color indexed="81"/>
            <rFont val="Tahoma"/>
            <family val="2"/>
          </rPr>
          <t xml:space="preserve">
</t>
        </r>
      </text>
    </comment>
    <comment ref="A7" authorId="0" shapeId="0" xr:uid="{00000000-0006-0000-0500-000005000000}">
      <text>
        <r>
          <rPr>
            <sz val="8"/>
            <color indexed="81"/>
            <rFont val="Tahoma"/>
            <family val="2"/>
          </rPr>
          <t xml:space="preserve">This is the water profile in the kettle. This information is taken from the </t>
        </r>
        <r>
          <rPr>
            <b/>
            <sz val="8"/>
            <color indexed="81"/>
            <rFont val="Tahoma"/>
            <family val="2"/>
          </rPr>
          <t xml:space="preserve">Water Adjustment </t>
        </r>
        <r>
          <rPr>
            <sz val="8"/>
            <color indexed="81"/>
            <rFont val="Tahoma"/>
            <family val="2"/>
          </rPr>
          <t>sheet and represents the result of overall mineral and acid adjustments.</t>
        </r>
      </text>
    </comment>
    <comment ref="I7" authorId="0" shapeId="0" xr:uid="{00000000-0006-0000-0500-000006000000}">
      <text>
        <r>
          <rPr>
            <b/>
            <sz val="8"/>
            <color indexed="81"/>
            <rFont val="Tahoma"/>
            <family val="2"/>
          </rPr>
          <t>Not Applicable (NA)</t>
        </r>
        <r>
          <rPr>
            <sz val="8"/>
            <color indexed="81"/>
            <rFont val="Tahoma"/>
            <family val="2"/>
          </rPr>
          <t xml:space="preserve"> is shown here because bicarbonate content in the finished water is not relevant since the acids produced in the mash will neutralize a portion of the bicarbonate content. Since that degree of neutralization may vary, the resulting bicarbonate content is not displayed here.</t>
        </r>
      </text>
    </comment>
    <comment ref="A8" authorId="0" shapeId="0" xr:uid="{00000000-0006-0000-0500-000007000000}">
      <text>
        <r>
          <rPr>
            <sz val="8"/>
            <color indexed="81"/>
            <rFont val="Tahoma"/>
            <family val="2"/>
          </rPr>
          <t xml:space="preserve">These ion ranges are provided for quick comparison with the </t>
        </r>
        <r>
          <rPr>
            <b/>
            <sz val="8"/>
            <color indexed="81"/>
            <rFont val="Tahoma"/>
            <family val="2"/>
          </rPr>
          <t>Mashing or Finished Water Profiles</t>
        </r>
        <r>
          <rPr>
            <sz val="8"/>
            <color indexed="81"/>
            <rFont val="Tahoma"/>
            <family val="2"/>
          </rPr>
          <t xml:space="preserve">. </t>
        </r>
      </text>
    </comment>
    <comment ref="C11" authorId="0" shapeId="0" xr:uid="{00000000-0006-0000-0500-000008000000}">
      <text>
        <r>
          <rPr>
            <sz val="8"/>
            <color indexed="81"/>
            <rFont val="Tahoma"/>
            <family val="2"/>
          </rPr>
          <t>This information is entered on the</t>
        </r>
        <r>
          <rPr>
            <b/>
            <sz val="8"/>
            <color indexed="81"/>
            <rFont val="Tahoma"/>
            <family val="2"/>
          </rPr>
          <t xml:space="preserve"> Mash Acidification </t>
        </r>
        <r>
          <rPr>
            <sz val="8"/>
            <color indexed="81"/>
            <rFont val="Tahoma"/>
            <family val="2"/>
          </rPr>
          <t>sheet.</t>
        </r>
      </text>
    </comment>
    <comment ref="F11" authorId="0" shapeId="0" xr:uid="{00000000-0006-0000-0500-000009000000}">
      <text>
        <r>
          <rPr>
            <sz val="8"/>
            <color indexed="81"/>
            <rFont val="Tahoma"/>
            <family val="2"/>
          </rPr>
          <t>The Hardness value is for informational use only. It is not a targeted value.</t>
        </r>
        <r>
          <rPr>
            <sz val="9"/>
            <color indexed="81"/>
            <rFont val="Tahoma"/>
            <family val="2"/>
          </rPr>
          <t xml:space="preserve">
</t>
        </r>
      </text>
    </comment>
    <comment ref="I11" authorId="0" shapeId="0" xr:uid="{00000000-0006-0000-0500-00000A000000}">
      <text>
        <r>
          <rPr>
            <sz val="8"/>
            <color indexed="81"/>
            <rFont val="Tahoma"/>
            <family val="2"/>
          </rPr>
          <t>The RA value is for informational use only. It is not a targeted value.</t>
        </r>
        <r>
          <rPr>
            <sz val="9"/>
            <color indexed="81"/>
            <rFont val="Tahoma"/>
            <family val="2"/>
          </rPr>
          <t xml:space="preserve">
</t>
        </r>
      </text>
    </comment>
    <comment ref="F12" authorId="0" shapeId="0" xr:uid="{00000000-0006-0000-0500-00000B000000}">
      <text>
        <r>
          <rPr>
            <sz val="8"/>
            <color indexed="81"/>
            <rFont val="Tahoma"/>
            <family val="2"/>
          </rPr>
          <t>The Alkalinity value is for informational use only. It is not a targeted value.</t>
        </r>
        <r>
          <rPr>
            <sz val="9"/>
            <color indexed="81"/>
            <rFont val="Tahoma"/>
            <family val="2"/>
          </rPr>
          <t xml:space="preserve">
</t>
        </r>
      </text>
    </comment>
    <comment ref="I12" authorId="0" shapeId="0" xr:uid="{00000000-0006-0000-0500-00000C000000}">
      <text>
        <r>
          <rPr>
            <sz val="8"/>
            <color indexed="81"/>
            <rFont val="Tahoma"/>
            <family val="2"/>
          </rPr>
          <t xml:space="preserve">Very Dry: &gt; 2.0
Dry: 2.0
Balanced: 1.3
Full: 0.75
Very Full: &lt; 0.5
This ratio is most applicable when the chloride concentration in between 25 and 100 ppm.  This cell turns </t>
        </r>
        <r>
          <rPr>
            <b/>
            <sz val="8"/>
            <color indexed="53"/>
            <rFont val="Tahoma"/>
            <family val="2"/>
          </rPr>
          <t>orange</t>
        </r>
        <r>
          <rPr>
            <sz val="8"/>
            <color indexed="81"/>
            <rFont val="Tahoma"/>
            <family val="2"/>
          </rPr>
          <t xml:space="preserve"> to alert the user that the profile has either very low or excessive Chloride concentration and the result is NOT valid.</t>
        </r>
      </text>
    </comment>
    <comment ref="A14" authorId="0" shapeId="0" xr:uid="{00000000-0006-0000-0500-00000D000000}">
      <text>
        <r>
          <rPr>
            <sz val="8"/>
            <color indexed="81"/>
            <rFont val="Tahoma"/>
            <family val="2"/>
          </rPr>
          <t xml:space="preserve">Water Additions are entered on the </t>
        </r>
        <r>
          <rPr>
            <b/>
            <sz val="8"/>
            <color indexed="81"/>
            <rFont val="Tahoma"/>
            <family val="2"/>
          </rPr>
          <t xml:space="preserve">Water Adjustment </t>
        </r>
        <r>
          <rPr>
            <sz val="8"/>
            <color indexed="81"/>
            <rFont val="Tahoma"/>
            <family val="2"/>
          </rPr>
          <t xml:space="preserve">Sheet and the </t>
        </r>
        <r>
          <rPr>
            <b/>
            <sz val="8"/>
            <color indexed="81"/>
            <rFont val="Tahoma"/>
            <family val="2"/>
          </rPr>
          <t>Sparge Acidification</t>
        </r>
        <r>
          <rPr>
            <sz val="8"/>
            <color indexed="81"/>
            <rFont val="Tahoma"/>
            <family val="2"/>
          </rPr>
          <t xml:space="preserve"> sheet.</t>
        </r>
      </text>
    </comment>
    <comment ref="F14" authorId="0" shapeId="0" xr:uid="{00000000-0006-0000-0500-00000E000000}">
      <text>
        <r>
          <rPr>
            <sz val="8"/>
            <color indexed="81"/>
            <rFont val="Tahoma"/>
            <family val="2"/>
          </rPr>
          <t xml:space="preserve">This is the total water amount used for mashing.  
This information is entered on the </t>
        </r>
        <r>
          <rPr>
            <b/>
            <sz val="8"/>
            <color indexed="81"/>
            <rFont val="Tahoma"/>
            <family val="2"/>
          </rPr>
          <t xml:space="preserve">Water Adjustment </t>
        </r>
        <r>
          <rPr>
            <sz val="8"/>
            <color indexed="81"/>
            <rFont val="Tahoma"/>
            <family val="2"/>
          </rPr>
          <t>sheet.</t>
        </r>
      </text>
    </comment>
    <comment ref="I14" authorId="0" shapeId="0" xr:uid="{00000000-0006-0000-0500-00000F000000}">
      <text>
        <r>
          <rPr>
            <sz val="8"/>
            <color indexed="81"/>
            <rFont val="Tahoma"/>
            <family val="2"/>
          </rPr>
          <t xml:space="preserve">This is the total volume of water used for sparging.  This information is entered on the </t>
        </r>
        <r>
          <rPr>
            <b/>
            <sz val="8"/>
            <color indexed="81"/>
            <rFont val="Tahoma"/>
            <family val="2"/>
          </rPr>
          <t xml:space="preserve">Water Adjustment </t>
        </r>
        <r>
          <rPr>
            <sz val="8"/>
            <color indexed="81"/>
            <rFont val="Tahoma"/>
            <family val="2"/>
          </rPr>
          <t>sheet.</t>
        </r>
      </text>
    </comment>
    <comment ref="F15" authorId="0" shapeId="0" xr:uid="{00000000-0006-0000-0500-000010000000}">
      <text>
        <r>
          <rPr>
            <sz val="8"/>
            <color indexed="81"/>
            <rFont val="Tahoma"/>
            <family val="2"/>
          </rPr>
          <t xml:space="preserve">This is the amount of dilution water added to create the Total Mash Water Volume.  The Dilution Volume is adjusted by the Dilution Percentage input on the </t>
        </r>
        <r>
          <rPr>
            <b/>
            <sz val="8"/>
            <color indexed="81"/>
            <rFont val="Tahoma"/>
            <family val="2"/>
          </rPr>
          <t xml:space="preserve">Water Adjustment </t>
        </r>
        <r>
          <rPr>
            <sz val="8"/>
            <color indexed="81"/>
            <rFont val="Tahoma"/>
            <family val="2"/>
          </rPr>
          <t>sheet.</t>
        </r>
      </text>
    </comment>
    <comment ref="I15" authorId="0" shapeId="0" xr:uid="{00000000-0006-0000-0500-000011000000}">
      <text>
        <r>
          <rPr>
            <sz val="8"/>
            <color indexed="81"/>
            <rFont val="Tahoma"/>
            <family val="2"/>
          </rPr>
          <t xml:space="preserve">This is the amount of dilution water added to create the Total Sparge Water Volume.  The Dilution Volume is adjusted by the Dilution Percentage input on the </t>
        </r>
        <r>
          <rPr>
            <b/>
            <sz val="8"/>
            <color indexed="81"/>
            <rFont val="Tahoma"/>
            <family val="2"/>
          </rPr>
          <t>Sparge Acidification</t>
        </r>
        <r>
          <rPr>
            <sz val="8"/>
            <color indexed="81"/>
            <rFont val="Tahoma"/>
            <family val="2"/>
          </rPr>
          <t xml:space="preserve"> sheet.</t>
        </r>
      </text>
    </comment>
    <comment ref="E28" authorId="0" shapeId="0" xr:uid="{00000000-0006-0000-0500-000012000000}">
      <text>
        <r>
          <rPr>
            <sz val="8"/>
            <color indexed="81"/>
            <rFont val="Tahoma"/>
            <family val="2"/>
          </rPr>
          <t>This acid amount is from the</t>
        </r>
        <r>
          <rPr>
            <b/>
            <sz val="8"/>
            <color indexed="81"/>
            <rFont val="Tahoma"/>
            <family val="2"/>
          </rPr>
          <t xml:space="preserve"> Water Adjustment </t>
        </r>
        <r>
          <rPr>
            <sz val="8"/>
            <color indexed="81"/>
            <rFont val="Tahoma"/>
            <family val="2"/>
          </rPr>
          <t>sheet.</t>
        </r>
      </text>
    </comment>
    <comment ref="E29" authorId="0" shapeId="0" xr:uid="{00000000-0006-0000-0500-000013000000}">
      <text>
        <r>
          <rPr>
            <sz val="8"/>
            <color indexed="81"/>
            <rFont val="Tahoma"/>
            <family val="2"/>
          </rPr>
          <t xml:space="preserve">This acid amount is from the </t>
        </r>
        <r>
          <rPr>
            <b/>
            <sz val="8"/>
            <color indexed="81"/>
            <rFont val="Tahoma"/>
            <family val="2"/>
          </rPr>
          <t xml:space="preserve">Water Adjustment </t>
        </r>
        <r>
          <rPr>
            <sz val="8"/>
            <color indexed="81"/>
            <rFont val="Tahoma"/>
            <family val="2"/>
          </rPr>
          <t>sheet.</t>
        </r>
        <r>
          <rPr>
            <sz val="9"/>
            <color indexed="81"/>
            <rFont val="Tahoma"/>
            <family val="2"/>
          </rPr>
          <t xml:space="preserve">
</t>
        </r>
      </text>
    </comment>
    <comment ref="H30" authorId="0" shapeId="0" xr:uid="{00000000-0006-0000-0500-000014000000}">
      <text>
        <r>
          <rPr>
            <sz val="8"/>
            <color indexed="81"/>
            <rFont val="Tahoma"/>
            <family val="2"/>
          </rPr>
          <t xml:space="preserve">If the Water Volume input on the </t>
        </r>
        <r>
          <rPr>
            <b/>
            <sz val="8"/>
            <color indexed="81"/>
            <rFont val="Tahoma"/>
            <family val="2"/>
          </rPr>
          <t>Sparge Acidification</t>
        </r>
        <r>
          <rPr>
            <sz val="8"/>
            <color indexed="81"/>
            <rFont val="Tahoma"/>
            <family val="2"/>
          </rPr>
          <t xml:space="preserve"> sheet is 1 gallon, the acid amount from that sheet is multiplied by the sparge water volume that was input on the </t>
        </r>
        <r>
          <rPr>
            <b/>
            <sz val="8"/>
            <color indexed="81"/>
            <rFont val="Tahoma"/>
            <family val="2"/>
          </rPr>
          <t xml:space="preserve">Water Adjustment </t>
        </r>
        <r>
          <rPr>
            <sz val="8"/>
            <color indexed="81"/>
            <rFont val="Tahoma"/>
            <family val="2"/>
          </rPr>
          <t xml:space="preserve">sheet. If the water volume on the </t>
        </r>
        <r>
          <rPr>
            <b/>
            <sz val="8"/>
            <color indexed="81"/>
            <rFont val="Tahoma"/>
            <family val="2"/>
          </rPr>
          <t xml:space="preserve">Sparge Adjustment </t>
        </r>
        <r>
          <rPr>
            <sz val="8"/>
            <color indexed="81"/>
            <rFont val="Tahoma"/>
            <family val="2"/>
          </rPr>
          <t xml:space="preserve">sheet is not 1 gallon, the acid amount from the </t>
        </r>
        <r>
          <rPr>
            <b/>
            <sz val="8"/>
            <color indexed="81"/>
            <rFont val="Tahoma"/>
            <family val="2"/>
          </rPr>
          <t>Sparge Adjustment</t>
        </r>
        <r>
          <rPr>
            <sz val="8"/>
            <color indexed="81"/>
            <rFont val="Tahoma"/>
            <family val="2"/>
          </rPr>
          <t xml:space="preserve"> sheet is shown here. </t>
        </r>
      </text>
    </comment>
    <comment ref="H31" authorId="0" shapeId="0" xr:uid="{00000000-0006-0000-0500-000015000000}">
      <text>
        <r>
          <rPr>
            <sz val="8"/>
            <color indexed="81"/>
            <rFont val="Tahoma"/>
            <family val="2"/>
          </rPr>
          <t xml:space="preserve">If the Water Volume input on the </t>
        </r>
        <r>
          <rPr>
            <b/>
            <sz val="8"/>
            <color indexed="81"/>
            <rFont val="Tahoma"/>
            <family val="2"/>
          </rPr>
          <t xml:space="preserve">Sparge Acidification </t>
        </r>
        <r>
          <rPr>
            <sz val="8"/>
            <color indexed="81"/>
            <rFont val="Tahoma"/>
            <family val="2"/>
          </rPr>
          <t xml:space="preserve">sheet is 1 gallon, the acid amount from that sheet is multiplied by the sparge water volume that was input on the </t>
        </r>
        <r>
          <rPr>
            <b/>
            <sz val="8"/>
            <color indexed="81"/>
            <rFont val="Tahoma"/>
            <family val="2"/>
          </rPr>
          <t>Water Adjustment</t>
        </r>
        <r>
          <rPr>
            <sz val="8"/>
            <color indexed="81"/>
            <rFont val="Tahoma"/>
            <family val="2"/>
          </rPr>
          <t xml:space="preserve"> sheet. If the water volume on the </t>
        </r>
        <r>
          <rPr>
            <b/>
            <sz val="8"/>
            <color indexed="81"/>
            <rFont val="Tahoma"/>
            <family val="2"/>
          </rPr>
          <t xml:space="preserve">Sparge Adjustment </t>
        </r>
        <r>
          <rPr>
            <sz val="8"/>
            <color indexed="81"/>
            <rFont val="Tahoma"/>
            <family val="2"/>
          </rPr>
          <t>sheet is not 1 gallon, the acid amount from the</t>
        </r>
        <r>
          <rPr>
            <b/>
            <sz val="8"/>
            <color indexed="81"/>
            <rFont val="Tahoma"/>
            <family val="2"/>
          </rPr>
          <t xml:space="preserve"> Sparge Adjustment </t>
        </r>
        <r>
          <rPr>
            <sz val="8"/>
            <color indexed="81"/>
            <rFont val="Tahoma"/>
            <family val="2"/>
          </rPr>
          <t xml:space="preserve">sheet is shown here. </t>
        </r>
      </text>
    </comment>
  </commentList>
</comments>
</file>

<file path=xl/sharedStrings.xml><?xml version="1.0" encoding="utf-8"?>
<sst xmlns="http://schemas.openxmlformats.org/spreadsheetml/2006/main" count="1881" uniqueCount="1024">
  <si>
    <r>
      <t>Alkalinity (ppm as CaCO</t>
    </r>
    <r>
      <rPr>
        <vertAlign val="subscript"/>
        <sz val="10"/>
        <rFont val="Arial"/>
        <family val="2"/>
      </rPr>
      <t>3</t>
    </r>
    <r>
      <rPr>
        <sz val="10"/>
        <rFont val="Arial"/>
        <family val="2"/>
      </rPr>
      <t>)</t>
    </r>
  </si>
  <si>
    <t xml:space="preserve">These ions can also be grouped in another way.  Calcium, magnesium, and bicarbonate produce hardness and alkalinity that affect the mash pH. Sodium, chloride, and sulfate ions affect flavor which adds important nuances to beer perception. </t>
  </si>
  <si>
    <t>Calcium</t>
  </si>
  <si>
    <t>Magnesium</t>
  </si>
  <si>
    <t>Sodium</t>
  </si>
  <si>
    <t>Chloride</t>
  </si>
  <si>
    <t>Sulfate</t>
  </si>
  <si>
    <t>Bicarbonate</t>
  </si>
  <si>
    <t>A discussion of the effect of each of the ions is presented below.</t>
  </si>
  <si>
    <t>The location of the water supply well also has an influence. At Marston Brewery, the sulfate content of their groundwater is up to 800 ppm. While at Coors Brewery, the sulfate content of their groundwater was only about 200 ppm. These were sampled at the same time and come from the same Sand and Gravel aquifer. So, defining a 'true' Burton water profile is impossible.</t>
  </si>
  <si>
    <t xml:space="preserve">The balanced Burton water profile in Bru'n Water was estimated based on the relative concentrations of ions observed from the Sand and Gravel aquifer, but those concentrations could be higher or lower depending upon time of year and location.  At over 600 ppm sulfate, the provided profile is not as extreme as that groundwater gets, but it is highly mineralized. Brewing with that Burton profile may be extreme and an alternative would be to brew with the Pale Ale profile that is also included in Bru'n Water as a first try for brewing a good hoppy beer (300 ppm sulfate).  </t>
  </si>
  <si>
    <r>
      <t>Residual Alkalinity (RA), (ppm as CaCO</t>
    </r>
    <r>
      <rPr>
        <vertAlign val="subscript"/>
        <sz val="10"/>
        <rFont val="Arial"/>
        <family val="2"/>
      </rPr>
      <t>3</t>
    </r>
    <r>
      <rPr>
        <sz val="10"/>
        <rFont val="Arial"/>
        <family val="2"/>
      </rPr>
      <t>)</t>
    </r>
  </si>
  <si>
    <t>Adjustment Summary</t>
  </si>
  <si>
    <t>German Hardness (GH) (degrees)</t>
  </si>
  <si>
    <t>Karbonate Hardness (KH) (degrees)</t>
  </si>
  <si>
    <r>
      <t>A technique to help encourage and speed the precipitation of CaCO</t>
    </r>
    <r>
      <rPr>
        <vertAlign val="subscript"/>
        <sz val="10"/>
        <rFont val="Arial"/>
        <family val="2"/>
      </rPr>
      <t>3</t>
    </r>
    <r>
      <rPr>
        <sz val="10"/>
        <rFont val="Arial"/>
        <family val="2"/>
      </rPr>
      <t xml:space="preserve"> from the boiled water is to add more Chalk to the water.  The Chalk provides nucleation sites for the precipitating CaCO</t>
    </r>
    <r>
      <rPr>
        <vertAlign val="subscript"/>
        <sz val="10"/>
        <rFont val="Arial"/>
        <family val="2"/>
      </rPr>
      <t>3</t>
    </r>
    <r>
      <rPr>
        <sz val="10"/>
        <rFont val="Arial"/>
        <family val="2"/>
      </rPr>
      <t xml:space="preserve"> to agglomerate with and form larger flocs that will settle faster.  A teaspoon of Chalk per 5 gallons should be sufficient to improve the settling.  The added Chalk does not dissolve and add to the calcium concentration since it is not soluble in water without CO</t>
    </r>
    <r>
      <rPr>
        <vertAlign val="subscript"/>
        <sz val="10"/>
        <rFont val="Arial"/>
        <family val="2"/>
      </rPr>
      <t>2</t>
    </r>
    <r>
      <rPr>
        <sz val="10"/>
        <rFont val="Arial"/>
        <family val="2"/>
      </rPr>
      <t xml:space="preserve">. </t>
    </r>
    <r>
      <rPr>
        <vertAlign val="subscript"/>
        <sz val="10"/>
        <rFont val="Arial"/>
        <family val="2"/>
      </rPr>
      <t xml:space="preserve"> </t>
    </r>
  </si>
  <si>
    <r>
      <t xml:space="preserve">Examples of the effect of </t>
    </r>
    <r>
      <rPr>
        <b/>
        <sz val="10"/>
        <rFont val="Arial"/>
        <family val="2"/>
      </rPr>
      <t>Decarbonation by Boiling</t>
    </r>
    <r>
      <rPr>
        <sz val="10"/>
        <rFont val="Arial"/>
        <family val="2"/>
      </rPr>
      <t xml:space="preserve"> are presented in the water profiles below.  The bicarbonate content was assumed to be reduced to 80 ppm and the calcium corresponding to the quantity of removed bicarbonate was also removed.  All other ion concentrations remain as for the original water.  In the case of the Burton and Dortmund profiles, the low original RA and significant reduction in RA with boiling, indicates that those profiles do not need to be treated in this way for brewing.  Typically, water profiles such as Dublin, Edinburgh, London, Munich, and Vienna are suitable for boiling treatment.</t>
    </r>
  </si>
  <si>
    <t xml:space="preserve">Mash  </t>
  </si>
  <si>
    <t xml:space="preserve">Sparge  </t>
  </si>
  <si>
    <t>Water Volume   (gal)</t>
  </si>
  <si>
    <t>Not Recommended</t>
  </si>
  <si>
    <t>Black: over 31 SRM</t>
  </si>
  <si>
    <t>Yellow: under 6 SRM</t>
  </si>
  <si>
    <t>Total Water Additions</t>
  </si>
  <si>
    <t>mabrungard@hotmail.com</t>
  </si>
  <si>
    <t>This process provides results that can be somewhat similar to performing Lime-Softening.  Lime-softening is a less energy intensive and less expensive way to reduce temporary hardness, but it may not reduce alkalinity to the degree that the boiling method can.</t>
  </si>
  <si>
    <t>User Custom</t>
  </si>
  <si>
    <t xml:space="preserve">With RA, a brewer can better understand the interplay of alkalinity and water hardness and its effect on mashing chemistry and performance.  A simplified chart depicting Alkalinity, Effective Hardness, and RA is presented on the RA Chart sheet included in this program.  Lines of constant RA cross the chart diagonally.  That chart is based on work by AJ Delange. </t>
  </si>
  <si>
    <r>
      <rPr>
        <b/>
        <sz val="10"/>
        <rFont val="Arial"/>
        <family val="2"/>
      </rPr>
      <t>Decarbonation by Boiling</t>
    </r>
    <r>
      <rPr>
        <sz val="10"/>
        <rFont val="Arial"/>
        <family val="2"/>
      </rPr>
      <t xml:space="preserve"> is discussed in the </t>
    </r>
    <r>
      <rPr>
        <b/>
        <sz val="10"/>
        <rFont val="Arial"/>
        <family val="2"/>
      </rPr>
      <t>Alkalinity</t>
    </r>
    <r>
      <rPr>
        <sz val="10"/>
        <rFont val="Arial"/>
        <family val="2"/>
      </rPr>
      <t xml:space="preserve"> section below.  A selection of estimated Decarbonated Water Profiles is provided in that section to illustrate the difference that boiling can create in the water profiles.</t>
    </r>
  </si>
  <si>
    <t xml:space="preserve">
Chlorine is typically found in municipal water supplies to assure the water’s disinfection from disease-causing organisms.  Chlorine removal from brewing water is critical for good brewing results.  Although the term chlorine is used generically here, chloramine and chlorine dioxide are other disinfection agents commonly used in municipal water supplies.  If these compounds are not removed, they combine with the organic compounds naturally found in wort to create chlorophenols.  Even at part per billion concentrations, Chlorophenols can be detected in beer and they have a distinctive mediciny, band-aid flavor that is objectionable in both flavor and aroma.  </t>
  </si>
  <si>
    <r>
      <t>Excessive alkalinity can reduce the quality and perception of pale colored beers.</t>
    </r>
    <r>
      <rPr>
        <sz val="10"/>
        <rFont val="Arial"/>
        <family val="2"/>
      </rPr>
      <t xml:space="preserve">  Alkalinity can be reduced in a number of ways.  Dilution with distilled water or RO water is effective in reducing alkalinity.  Acid addition is also a simple way to neutralize alkalinity.  </t>
    </r>
  </si>
  <si>
    <r>
      <rPr>
        <b/>
        <sz val="10"/>
        <rFont val="Arial"/>
        <family val="2"/>
      </rPr>
      <t>Lactic Acid</t>
    </r>
    <r>
      <rPr>
        <sz val="10"/>
        <rFont val="Arial"/>
        <family val="2"/>
      </rPr>
      <t xml:space="preserve"> is readily available for brewing use, but it can produce a distinctive “tang” in the flavor profile at high concentration.  </t>
    </r>
    <r>
      <rPr>
        <b/>
        <sz val="10"/>
        <rFont val="Arial"/>
        <family val="2"/>
      </rPr>
      <t>Phosphoric Acid</t>
    </r>
    <r>
      <rPr>
        <sz val="10"/>
        <rFont val="Arial"/>
        <family val="2"/>
      </rPr>
      <t xml:space="preserve"> can also be used and it has little flavor effect since this acid is similar to the malt acids produced through mashing.  Phosphoric acid does not cause excessive precipitation of calcium in the mash and can be used freely in brewing.  </t>
    </r>
    <r>
      <rPr>
        <b/>
        <sz val="10"/>
        <rFont val="Arial"/>
        <family val="2"/>
      </rPr>
      <t>Hydrochloric and Sulfuric acids</t>
    </r>
    <r>
      <rPr>
        <sz val="10"/>
        <rFont val="Arial"/>
        <family val="2"/>
      </rPr>
      <t xml:space="preserve"> are strong acids that also contribute chloride or sulfate ions, respectively.  </t>
    </r>
  </si>
  <si>
    <t xml:space="preserve">This program is unique in that it enables the evaluation of both brewing water alkalinity and mash acidity to more closely estimate and assess the mash water adjustments needed.  The mash acidity is calculated from the actual grain bill used for each brewing session.   </t>
  </si>
  <si>
    <t>Measurements</t>
  </si>
  <si>
    <r>
      <t xml:space="preserve">Pickling Lime </t>
    </r>
    <r>
      <rPr>
        <sz val="10"/>
        <rFont val="Arial"/>
        <family val="2"/>
      </rPr>
      <t>provides calcium and hydroxide ions.  The hydroxide ions are strong consumers of acidity and can significantly increase pH if over dosed.  Consuming acidity is the definition of Alkalinity.  Therefore, an equivalent bicarbonate alkalinity contribution can be calculated.  Pickling Lime is readily soluble in water and must be used with care.</t>
    </r>
  </si>
  <si>
    <r>
      <t>Magnesium Chloride</t>
    </r>
    <r>
      <rPr>
        <sz val="10"/>
        <rFont val="Arial"/>
        <family val="2"/>
      </rPr>
      <t xml:space="preserve"> provides magnesium and chloride ions and is readily soluble in water.  </t>
    </r>
  </si>
  <si>
    <t xml:space="preserve">Although the historic water profiles above are accurate, it does not mean that the brewers from those areas did not treat or alter their water to brew.  Of particular interest is the use of decarbonation and softening of water by boiling.  Another treatment option was to use saurermalt (acidified malt) or saurergut (soured wort) to reduce alkalinity.    </t>
  </si>
  <si>
    <t>Malic</t>
  </si>
  <si>
    <t>Final Water Alkalinity =</t>
  </si>
  <si>
    <t>Examples of the ionic concentrations of water from various major brewing centers are shown in the table below.  There are a variety of literary sources that provide differing estimates of the appropriate ionic concentrations for these various brewing waters.  For some of those literary sources, the quoted ionic concentrations are not correct since the indicated ionic balance could not exist at reasonable pH levels and they are not supported with factual laboratory data.  The concentrations shown in this table have been resolved with historic and current references and are corrected to provide an appropriate ionic balance.  The RA calculated for each of the water profiles is provided in the table for reference.</t>
  </si>
  <si>
    <t>Brewing</t>
  </si>
  <si>
    <t>Center</t>
  </si>
  <si>
    <t>Residual</t>
  </si>
  <si>
    <t xml:space="preserve">Ionic Profiles for Major Brewing Centers (in ppm) </t>
  </si>
  <si>
    <t>Water Treatment</t>
  </si>
  <si>
    <t>Every water resource may not provide ideal conditions or results for brewing.  Water treatment may be needed for a number of reasons including:</t>
  </si>
  <si>
    <t xml:space="preserve">     · Mineral Profile Adjustment</t>
  </si>
  <si>
    <t xml:space="preserve">     · Alkalinity Adjustment</t>
  </si>
  <si>
    <t xml:space="preserve">     · Hardness Adjustment</t>
  </si>
  <si>
    <t xml:space="preserve">     · Chlorine Removal</t>
  </si>
  <si>
    <t>The use of bleach as a sanitizing agent can leave chlorine on brewing equipment and in the brewing water.  Sanitizers such as iodophor and acid-type cleaners can be more effective and require no rinsing.  Switching from bleach to these sanitizers can produce a substantial improvement in the quality of a finished beer.</t>
  </si>
  <si>
    <t xml:space="preserve">Several options are available for removing chlorine from brewing water.  </t>
  </si>
  <si>
    <t xml:space="preserve">     · Boiling</t>
  </si>
  <si>
    <t xml:space="preserve">     · Metabisulfite addition</t>
  </si>
  <si>
    <t xml:space="preserve">     · Activated Carbon filtration</t>
  </si>
  <si>
    <r>
      <t>Metabisulfite</t>
    </r>
    <r>
      <rPr>
        <sz val="10"/>
        <rFont val="Arial"/>
        <family val="2"/>
      </rPr>
      <t xml:space="preserve"> (Campden Tablet) addition is effective for chlorine and chloramine removal.  The tablets are either potassium metabisulfite or sodium metabisulfite.  Both are effective in the disinfectant removal. When sodium content in the brewing water is a concern, potassium metabisulfite is preferred.  Moderate potassium content in brewing water generally has little effect on brewing performance or taste.</t>
    </r>
  </si>
  <si>
    <t xml:space="preserve">Reducing hardness is much more difficult.  Dilution with distilled water or Reverse Osmosis (RO) water is a quick, yet more costly option.  Distilled water is free of all hardness and alkalinity ions while RO water is nearly free of those ions.  Both sources are very soft water that reduce the hardness and alkalinity of the brewing water in proportion to the amount of purified water added.  The ion concentrations of these purified waters are typically too low to promote good mashing and fermentation conditions.  Therefore, minerals should be added to these purified waters or the purified water should be blended with the original source water to provide an adequate ionic content. </t>
  </si>
  <si>
    <r>
      <t>Chalk</t>
    </r>
    <r>
      <rPr>
        <sz val="10"/>
        <rFont val="Arial"/>
        <family val="2"/>
      </rPr>
      <t xml:space="preserve"> provides calcium and carbonate ions.  Chalk is not readily soluble in water and the acidic conditions of the mash are required to dissolve the chalk.  The carbonate ions generally transform into bicarbonate ions in the mash.</t>
    </r>
  </si>
  <si>
    <r>
      <t>Baking Soda</t>
    </r>
    <r>
      <rPr>
        <sz val="10"/>
        <rFont val="Arial"/>
        <family val="2"/>
      </rPr>
      <t xml:space="preserve"> provides sodium and bicarbonate ions and is readily soluble in water.</t>
    </r>
  </si>
  <si>
    <r>
      <t>Table Salt</t>
    </r>
    <r>
      <rPr>
        <sz val="10"/>
        <rFont val="Arial"/>
        <family val="2"/>
      </rPr>
      <t xml:space="preserve"> provides sodium and chloride ions and is readily soluble in water.  Only non-iodized salt should be used since iodine is poisonous to yeast.</t>
    </r>
  </si>
  <si>
    <r>
      <t>Calcium Chloride</t>
    </r>
    <r>
      <rPr>
        <sz val="10"/>
        <rFont val="Arial"/>
        <family val="2"/>
      </rPr>
      <t xml:space="preserve"> provides calcium and chloride ions and is readily soluble in water.</t>
    </r>
  </si>
  <si>
    <r>
      <t>Epsom Salt</t>
    </r>
    <r>
      <rPr>
        <sz val="10"/>
        <rFont val="Arial"/>
        <family val="2"/>
      </rPr>
      <t xml:space="preserve"> provides magnesium and sulfate ions and is readily soluble in water.</t>
    </r>
  </si>
  <si>
    <r>
      <t>Gypsum</t>
    </r>
    <r>
      <rPr>
        <sz val="10"/>
        <rFont val="Arial"/>
        <family val="2"/>
      </rPr>
      <t xml:space="preserve"> provides calcium and sulfate ions and is readily soluble in water.</t>
    </r>
  </si>
  <si>
    <t>Bru'n Water</t>
  </si>
  <si>
    <t>Sparge Water Acidification</t>
  </si>
  <si>
    <t>r1o=</t>
  </si>
  <si>
    <t>r2o=</t>
  </si>
  <si>
    <t>do=</t>
  </si>
  <si>
    <t>f1o=</t>
  </si>
  <si>
    <t>f20=</t>
  </si>
  <si>
    <t>f3o=</t>
  </si>
  <si>
    <t>pHb=</t>
  </si>
  <si>
    <t>r1b=</t>
  </si>
  <si>
    <t>r2b=</t>
  </si>
  <si>
    <t>db=</t>
  </si>
  <si>
    <t>f1b=</t>
  </si>
  <si>
    <t>f2b=</t>
  </si>
  <si>
    <t>f3b=</t>
  </si>
  <si>
    <t>Ct=</t>
  </si>
  <si>
    <t>Acid Required=</t>
  </si>
  <si>
    <t>r1c=</t>
  </si>
  <si>
    <t>r2c=</t>
  </si>
  <si>
    <t>dc=</t>
  </si>
  <si>
    <t>f1c=</t>
  </si>
  <si>
    <t>f2c=</t>
  </si>
  <si>
    <t>f3c=</t>
  </si>
  <si>
    <t>acid</t>
  </si>
  <si>
    <t>pK1</t>
  </si>
  <si>
    <t>pK2</t>
  </si>
  <si>
    <t>pK3</t>
  </si>
  <si>
    <t>Mol. Wt.</t>
  </si>
  <si>
    <t>Acetic</t>
  </si>
  <si>
    <t>Citric</t>
  </si>
  <si>
    <t>Hydrochloric</t>
  </si>
  <si>
    <t>Lactic</t>
  </si>
  <si>
    <t>Phosphoric</t>
  </si>
  <si>
    <t>Sulfuric</t>
  </si>
  <si>
    <t>Tartaric</t>
  </si>
  <si>
    <t>r1d=</t>
  </si>
  <si>
    <t>r2d=</t>
  </si>
  <si>
    <t>r3d=</t>
  </si>
  <si>
    <t>dd=</t>
  </si>
  <si>
    <t>f1d=</t>
  </si>
  <si>
    <t>f2d=</t>
  </si>
  <si>
    <t>f3d=</t>
  </si>
  <si>
    <t>f4d=</t>
  </si>
  <si>
    <t>frac=</t>
  </si>
  <si>
    <t>mM required=</t>
  </si>
  <si>
    <t>SG</t>
  </si>
  <si>
    <t>mEq/L</t>
  </si>
  <si>
    <t>SU</t>
  </si>
  <si>
    <t>Standard Units</t>
  </si>
  <si>
    <t>N</t>
  </si>
  <si>
    <t>Calcium (Ca)</t>
  </si>
  <si>
    <t>Magnesium (Mg)</t>
  </si>
  <si>
    <t>Sodium (Na)</t>
  </si>
  <si>
    <t>Potassium (K)</t>
  </si>
  <si>
    <t>Chloride (Cl)</t>
  </si>
  <si>
    <t>Magnesium (ppm)</t>
  </si>
  <si>
    <t>Calcium      (ppm)</t>
  </si>
  <si>
    <t>Sodium        (ppm)</t>
  </si>
  <si>
    <t>Sulfate        (ppm)</t>
  </si>
  <si>
    <t>Chloride      (ppm)</t>
  </si>
  <si>
    <t>Bicarbonate (ppm)</t>
  </si>
  <si>
    <t>Estimated Bicarbonate Concentration (ppm)</t>
  </si>
  <si>
    <t>Cations (meq/L)</t>
  </si>
  <si>
    <t>Anions (meq/L)</t>
  </si>
  <si>
    <t>Total Hardness</t>
  </si>
  <si>
    <t>Beerse</t>
  </si>
  <si>
    <t>Brugse</t>
  </si>
  <si>
    <t>Brussels</t>
  </si>
  <si>
    <t>Dusseldorf</t>
  </si>
  <si>
    <t>Willebroek</t>
  </si>
  <si>
    <t>Hoegaarden</t>
  </si>
  <si>
    <t>Brabant</t>
  </si>
  <si>
    <t>Achouffe</t>
  </si>
  <si>
    <t>Orval</t>
  </si>
  <si>
    <t>Rochefort</t>
  </si>
  <si>
    <t>Chimay</t>
  </si>
  <si>
    <t>Ardennes</t>
  </si>
  <si>
    <t>Antwerpen/Anvers</t>
  </si>
  <si>
    <t>Henegouwen/Hainaut</t>
  </si>
  <si>
    <t>Luik/Liege</t>
  </si>
  <si>
    <t>East Flanders</t>
  </si>
  <si>
    <t>West Flanders</t>
  </si>
  <si>
    <r>
      <t>Nitrate (NO</t>
    </r>
    <r>
      <rPr>
        <vertAlign val="subscript"/>
        <sz val="10"/>
        <rFont val="Arial"/>
        <family val="2"/>
      </rPr>
      <t>3</t>
    </r>
    <r>
      <rPr>
        <sz val="10"/>
        <rFont val="Arial"/>
        <family val="2"/>
      </rPr>
      <t>)</t>
    </r>
  </si>
  <si>
    <r>
      <t>Sulfate (SO</t>
    </r>
    <r>
      <rPr>
        <vertAlign val="subscript"/>
        <sz val="10"/>
        <rFont val="Arial"/>
        <family val="2"/>
      </rPr>
      <t>4</t>
    </r>
    <r>
      <rPr>
        <sz val="10"/>
        <rFont val="Arial"/>
        <family val="2"/>
      </rPr>
      <t>)</t>
    </r>
  </si>
  <si>
    <r>
      <t>Carbonate (CO</t>
    </r>
    <r>
      <rPr>
        <vertAlign val="subscript"/>
        <sz val="10"/>
        <rFont val="Arial"/>
        <family val="2"/>
      </rPr>
      <t>3</t>
    </r>
    <r>
      <rPr>
        <sz val="10"/>
        <rFont val="Arial"/>
        <family val="2"/>
      </rPr>
      <t>)</t>
    </r>
  </si>
  <si>
    <r>
      <t>Bicarbonate (HCO</t>
    </r>
    <r>
      <rPr>
        <vertAlign val="subscript"/>
        <sz val="10"/>
        <rFont val="Arial"/>
        <family val="2"/>
      </rPr>
      <t>3</t>
    </r>
    <r>
      <rPr>
        <sz val="10"/>
        <rFont val="Arial"/>
        <family val="2"/>
      </rPr>
      <t>)</t>
    </r>
  </si>
  <si>
    <r>
      <t>Nitrite (NO</t>
    </r>
    <r>
      <rPr>
        <vertAlign val="subscript"/>
        <sz val="10"/>
        <rFont val="Arial"/>
        <family val="2"/>
      </rPr>
      <t>2</t>
    </r>
    <r>
      <rPr>
        <sz val="10"/>
        <rFont val="Arial"/>
        <family val="2"/>
      </rPr>
      <t>)</t>
    </r>
  </si>
  <si>
    <t>Iron (Fe)</t>
  </si>
  <si>
    <t>Fluoride (F)</t>
  </si>
  <si>
    <t>Canning Salt (NaCl)</t>
  </si>
  <si>
    <t>Starting Water pH =</t>
  </si>
  <si>
    <t>Reported or Measured Water pH</t>
  </si>
  <si>
    <t>RO Water</t>
  </si>
  <si>
    <t>Burton</t>
  </si>
  <si>
    <t>Dortmund</t>
  </si>
  <si>
    <t>Dublin</t>
  </si>
  <si>
    <t>Edinburgh</t>
  </si>
  <si>
    <t>London</t>
  </si>
  <si>
    <t>Munich</t>
  </si>
  <si>
    <t>Pilsen</t>
  </si>
  <si>
    <t>Vienna</t>
  </si>
  <si>
    <t>Acid Malt</t>
  </si>
  <si>
    <t>Quantity (oz)</t>
  </si>
  <si>
    <t>Grains</t>
  </si>
  <si>
    <t>Color (L)</t>
  </si>
  <si>
    <t>Quantity (lb)</t>
  </si>
  <si>
    <t>Cations</t>
  </si>
  <si>
    <t>Anions</t>
  </si>
  <si>
    <t>Water Report Input</t>
  </si>
  <si>
    <r>
      <t>multiply lab result by 3 if lab reports as SO</t>
    </r>
    <r>
      <rPr>
        <vertAlign val="subscript"/>
        <sz val="10"/>
        <rFont val="Arial"/>
        <family val="2"/>
      </rPr>
      <t>4</t>
    </r>
    <r>
      <rPr>
        <sz val="10"/>
        <rFont val="Arial"/>
        <family val="2"/>
      </rPr>
      <t>-S</t>
    </r>
  </si>
  <si>
    <r>
      <t>multiply lab result by 4.43 if lab reports as NO</t>
    </r>
    <r>
      <rPr>
        <vertAlign val="subscript"/>
        <sz val="10"/>
        <rFont val="Arial"/>
        <family val="2"/>
      </rPr>
      <t>3</t>
    </r>
    <r>
      <rPr>
        <sz val="10"/>
        <rFont val="Arial"/>
        <family val="2"/>
      </rPr>
      <t>-N</t>
    </r>
  </si>
  <si>
    <t>Alkalinity</t>
  </si>
  <si>
    <t>RA</t>
  </si>
  <si>
    <t>Pale Ale Profile</t>
  </si>
  <si>
    <t>Mild Ale Profile</t>
  </si>
  <si>
    <t>Amber Balanced</t>
  </si>
  <si>
    <t>Brown Balanced</t>
  </si>
  <si>
    <t>Black Balanced</t>
  </si>
  <si>
    <t>American Lager</t>
  </si>
  <si>
    <t>Amber: 7 to 17 SRM</t>
  </si>
  <si>
    <t>Brown: 18 to 30 SRM</t>
  </si>
  <si>
    <t>Desired Water Profile</t>
  </si>
  <si>
    <t>Minerals and Beer Styles</t>
  </si>
  <si>
    <t>When inputing Custom water profiles, make sure the cation and anion columns are green indicating that they are balanced.  Adjust the various ion concentrations to achieve balance.</t>
  </si>
  <si>
    <t xml:space="preserve">The first consideration is that brewing water should have high quality and be safe to drink.  This requires that the water have no pollutants and have little or no iron, manganese, nitrites, or nitrates. Iron can be tasted at concentrations of greater than 0.3 parts per million (ppm) and manganese can be tasted at concentrations of greater than 0.05 ppm. These minerals have a very metallic taste that is easily conveyed into the finished beer. Nitrates are not a great concern in brewing, but should generally be less than 10 ppm in the water source.  High Nitrate concentration in the water can be converted to Nitrite in the mash.  Nitrite is poisonous to yeast.  Sulfurous compounds such as sulfur or rotten-egg aromas should not be perceptible in the water. </t>
  </si>
  <si>
    <t xml:space="preserve">The success in brewing pale beer in Pilsen is due to the soft and low alkalinity water there (RA is near 0). Likewise, the success of brewing pale beer in Burton-on-Trent is due to the very high hardness and high alkalinity that still produce a low RA. Low RA waters are well suited to brewing pale beers since the mash pH will naturally fall into the desired pH range. Low RA waters are less suitable for brewing dark beers since the acidic dark grains can drive the wort pH lower than desirable which reduces the effectiveness of mash enzymes and possibly produces a sharp, acidic, or tart beer. </t>
  </si>
  <si>
    <t xml:space="preserve">Even though a direct relationship cannot be made, a general relationship between beer color and RA is apparent.  The success in brewing dark beers in places such as Dublin, Edinburgh, Munich, and London that have high Residual Alkalinity water (RA greater than 50), is due to the more acidic dark grain used in their grist. Without the dark grain acidity to consume the high alkalinity, the mash pH would not drop into the desired range for good enzyme performance and the resulting beer may also present a harsh character because of the leaching of silicates, tannins, and polyphenols into the wort during mashing. The high alkalinity moderates the dark grain acidity to produce a smoother dark beer. </t>
  </si>
  <si>
    <t xml:space="preserve">Additionally, ions affecting beer flavor perception in the local water also influenced beer styles.  For instance, malty styles tended to be found in areas with low sulfate concentrations while hoppy styles tend to be found in areas with elevated sulfate concentrations. </t>
  </si>
  <si>
    <t xml:space="preserve">     · Aeration</t>
  </si>
  <si>
    <t xml:space="preserve">An additional option for alkalinity reduction is to harden the water to create more malt acids through the malt phosphate reaction with the calcium or magnesium ions.  This approach is directly from the concept of Residual Alkalinity presented above.  </t>
  </si>
  <si>
    <t>Getting Started</t>
  </si>
  <si>
    <t>THE SOFTWARE IS PROVIDED "AS IS", WITHOUT WARRANTY OF ANY KIND, EXPRESS OR IMPLIED, INCLUDING BUT NOT LIMITED TO THE WARRANTIES OF MERCHANTABILITY, FITNESS FOR A PARTICULAR PURPOSE AND NONINFRINGEMENT OF THIRD PARTY RIGHTS. IN NO EVENT SHALL THE COPYRIGHT HOLDER OR HOLDERS INCLUDED IN THIS NOTICE BE LIABLE FOR ANY CLAIM, OR ANY SPECIAL INDIRECT OR CONSEQUENTIAL DAMAGES, OR ANY DAMAGES WHATSOEVER RESULTING FROM LOSS OF USE, DATA OR PROFITS, WHETHER IN AN ACTION OF CONTRACT, NEGLIGENCE OR OTHER TORTIOUS ACTION, ARISING OUT OF OR IN CONNECTION WITH THE USE OR PERFORMANCE OF THIS SOFTWARE.</t>
  </si>
  <si>
    <t>Water Adjustment</t>
  </si>
  <si>
    <t>Distilled Water</t>
  </si>
  <si>
    <t>Dilution Water Profile</t>
  </si>
  <si>
    <t>Diluted Water Profile</t>
  </si>
  <si>
    <t>Existing Water Profile</t>
  </si>
  <si>
    <t>%</t>
  </si>
  <si>
    <t>M</t>
  </si>
  <si>
    <t>n</t>
  </si>
  <si>
    <r>
      <t>Baking Soda (NaHCO</t>
    </r>
    <r>
      <rPr>
        <vertAlign val="subscript"/>
        <sz val="8"/>
        <rFont val="Arial"/>
        <family val="2"/>
      </rPr>
      <t>3</t>
    </r>
    <r>
      <rPr>
        <sz val="8"/>
        <rFont val="Arial"/>
        <family val="2"/>
      </rPr>
      <t>)</t>
    </r>
  </si>
  <si>
    <r>
      <t>Chalk (CaCO</t>
    </r>
    <r>
      <rPr>
        <vertAlign val="subscript"/>
        <sz val="8"/>
        <rFont val="Arial"/>
        <family val="2"/>
      </rPr>
      <t>3</t>
    </r>
    <r>
      <rPr>
        <sz val="8"/>
        <rFont val="Arial"/>
        <family val="2"/>
      </rPr>
      <t>)</t>
    </r>
  </si>
  <si>
    <t>Approximate Color Descriptors for Water Profiles</t>
  </si>
  <si>
    <t>Finished Water Profile</t>
  </si>
  <si>
    <t>Water Additions</t>
  </si>
  <si>
    <t>ppm</t>
  </si>
  <si>
    <r>
      <t>ppm as CaCO</t>
    </r>
    <r>
      <rPr>
        <vertAlign val="subscript"/>
        <sz val="8"/>
        <rFont val="Arial"/>
        <family val="2"/>
      </rPr>
      <t>3</t>
    </r>
  </si>
  <si>
    <t>oz/gal</t>
  </si>
  <si>
    <t>pt/gal</t>
  </si>
  <si>
    <t>Water Profile</t>
  </si>
  <si>
    <t>Hardness and Alkalinity Results</t>
  </si>
  <si>
    <t>Ion Balance Results</t>
  </si>
  <si>
    <t>INPUTS</t>
  </si>
  <si>
    <t>OUTPUTS</t>
  </si>
  <si>
    <r>
      <t>Pickling Lime (Ca(OH)</t>
    </r>
    <r>
      <rPr>
        <vertAlign val="subscript"/>
        <sz val="8"/>
        <rFont val="Arial"/>
        <family val="2"/>
      </rPr>
      <t>2</t>
    </r>
    <r>
      <rPr>
        <sz val="8"/>
        <rFont val="Arial"/>
        <family val="2"/>
      </rPr>
      <t>)</t>
    </r>
  </si>
  <si>
    <t>Instructions</t>
  </si>
  <si>
    <t>Created by Martin Brungard, P.E. D.WRE  (mabrungard@hotmail.com)</t>
  </si>
  <si>
    <t>Existing Water</t>
  </si>
  <si>
    <t>Adjusted Water</t>
  </si>
  <si>
    <t>Water to Grist Ratio (Qts/Lb)</t>
  </si>
  <si>
    <t>Grain Type</t>
  </si>
  <si>
    <t>Base Malt</t>
  </si>
  <si>
    <t>Crystal Malt</t>
  </si>
  <si>
    <t>Total Grist Weight (lbs)</t>
  </si>
  <si>
    <t>Est. Beer Color (SRM)</t>
  </si>
  <si>
    <t>&lt; These conversions are provided for your convenience</t>
  </si>
  <si>
    <t>Enter Ion Concentrations from Water Report     (mg/L or ppm)</t>
  </si>
  <si>
    <t>Water used for Mash</t>
  </si>
  <si>
    <t>Acknowledgements</t>
  </si>
  <si>
    <t xml:space="preserve">About the Author </t>
  </si>
  <si>
    <t>Estimated Room-Temperature Mash pH</t>
  </si>
  <si>
    <t>Yellow Balanced</t>
  </si>
  <si>
    <t>Water Knowledge</t>
  </si>
  <si>
    <t>by Martin Brungard</t>
  </si>
  <si>
    <t xml:space="preserve">Water Sources </t>
  </si>
  <si>
    <t xml:space="preserve">Many brewers rely on municipal water supplies for their water.  Other brewers may have private wells, springs, rain barrels, or other local sources for their brewing water. The source of water can have a substantial effect on its quality and variability. </t>
  </si>
  <si>
    <t xml:space="preserve">Municipal sources in the U.S. typically treat and verify that their water is safe to drink. Municipal water companies typically rely on surface water sources (rivers, lakes, and reservoirs) and/or groundwater sources (springs and wells) for their water source. A variety of processes can affect the quantity and quality of water from these sources through the year.  For instance, large volumes of snow melt or rainfall can provide softer water to a surface water source while that surface water can become more mineralized from groundwater inflow at other times of the year.  Differing ionic content of brewing water can affect mashing performance and flavor perceptions. </t>
  </si>
  <si>
    <t xml:space="preserve">Ions in water come primarily from the soil and rock minerals that the water contacts as it flows through the environment. In areas where the soil and rock are less soluble, the degree of mineralization of the water may be lower. But when the soil and rock are more soluble, the water may dissolve significant concentrations of ions.  The effect of these dissolved ions is presented in the following sections. </t>
  </si>
  <si>
    <t xml:space="preserve">Rivers, lakes, and reservoirs may have additional variability in their water quality when natural algae and microbes create strong taste and odor in water during warm weather.  These taste and odor components can make it past typical municipal water treatment methods and leave the water with an undesirable taste and aroma that may persist in the finished beer. </t>
  </si>
  <si>
    <t>Total Mineral Additions (grams)</t>
  </si>
  <si>
    <t>Support the development of Bru'n Water</t>
  </si>
  <si>
    <t>Homebrewing and Craftbrewing are unique in their need to frequently assess and adjust their brewing water to better suit their upcoming beer.  This differs from the needs of production breweries that brew thousands of barrels of the same beer every year.  Consistency is the key for production brewers and they have little need to evaluate or change their brewing water.  Through trial and error and advanced laboratory analyses, production breweries typically know exactly what adjustments they need for their brewing water.  Homebrewers and Craftbrewers rarely have the tools at their disposal to perfect their water and since they often change what beer they brew, a capable tool is helpful.  This brewing tool is intended to aid those who want to get great results out of every batch.</t>
  </si>
  <si>
    <t>Calcium (ppm)</t>
  </si>
  <si>
    <t>Carbonate (ppm)</t>
  </si>
  <si>
    <t>Sulfate (ppm)</t>
  </si>
  <si>
    <t>Nitrate (ppm)</t>
  </si>
  <si>
    <t>Input</t>
  </si>
  <si>
    <t>Output</t>
  </si>
  <si>
    <t>Output Reporting Unit</t>
  </si>
  <si>
    <t xml:space="preserve">Input Reporting Unit  </t>
  </si>
  <si>
    <t>Ion Concentration Conversion Calculator</t>
  </si>
  <si>
    <r>
      <t>Calcium (ppm as CaCO</t>
    </r>
    <r>
      <rPr>
        <vertAlign val="subscript"/>
        <sz val="10"/>
        <rFont val="Arial"/>
        <family val="2"/>
      </rPr>
      <t>3</t>
    </r>
    <r>
      <rPr>
        <sz val="10"/>
        <rFont val="Arial"/>
        <family val="2"/>
      </rPr>
      <t>)</t>
    </r>
  </si>
  <si>
    <r>
      <t>Magnesium (ppm as CaCO</t>
    </r>
    <r>
      <rPr>
        <vertAlign val="subscript"/>
        <sz val="10"/>
        <rFont val="Arial"/>
        <family val="2"/>
      </rPr>
      <t>3</t>
    </r>
    <r>
      <rPr>
        <sz val="10"/>
        <rFont val="Arial"/>
        <family val="2"/>
      </rPr>
      <t>)</t>
    </r>
  </si>
  <si>
    <r>
      <t>Bicarbonate (ppm as CaCO</t>
    </r>
    <r>
      <rPr>
        <vertAlign val="subscript"/>
        <sz val="10"/>
        <rFont val="Arial"/>
        <family val="2"/>
      </rPr>
      <t>3</t>
    </r>
    <r>
      <rPr>
        <sz val="10"/>
        <rFont val="Arial"/>
        <family val="2"/>
      </rPr>
      <t>)</t>
    </r>
  </si>
  <si>
    <r>
      <t>Carbonate (ppm as CaCO</t>
    </r>
    <r>
      <rPr>
        <vertAlign val="subscript"/>
        <sz val="10"/>
        <rFont val="Arial"/>
        <family val="2"/>
      </rPr>
      <t>3</t>
    </r>
    <r>
      <rPr>
        <sz val="10"/>
        <rFont val="Arial"/>
        <family val="2"/>
      </rPr>
      <t>)</t>
    </r>
  </si>
  <si>
    <r>
      <t>Sulfate (ppm as SO</t>
    </r>
    <r>
      <rPr>
        <vertAlign val="subscript"/>
        <sz val="10"/>
        <rFont val="Arial"/>
        <family val="2"/>
      </rPr>
      <t>4</t>
    </r>
    <r>
      <rPr>
        <sz val="10"/>
        <rFont val="Arial"/>
        <family val="2"/>
      </rPr>
      <t>-S)</t>
    </r>
  </si>
  <si>
    <t xml:space="preserve">Wells draw groundwater from underground aquifers.  Where these aquifers are isolated from lakes, rivers, marshes, and salt water, their groundwater quality tends to be more consistent throughout the year. Wells that are not isolated from lakes and rivers may be subject to the same water quality variability of the lake or river. Like surface water sources, the mineralization of groundwater is affected by the type of soil or rock that the groundwater flows through. Groundwater flowing through limestone and gypsum typically has more hardness minerals than groundwater flowing through granite or sandstone. </t>
  </si>
  <si>
    <t xml:space="preserve">Springs provide another source of groundwater. As with the sources listed above, understanding the quality of spring water is still important. The taste and ion content of the water must be suitable for brewing and the water should be free of chemical and microbe contamination. A spring water source is not a guarantee that the water is safe to drink or suitable for brewing. </t>
  </si>
  <si>
    <t xml:space="preserve">When presented with a water source with poor brewing qualities, additional water treatment may help correct the water’s faults.  Water treatment alternatives such as water distillation, reverse osmosis, carbon filtration, lime softening, water boiling, mineral addition, or acid addition may improve the brewing quality of a water source. Understanding the source of water and its limitations and variability can help maintain the quality and consistency of a brewer’s product. </t>
  </si>
  <si>
    <t xml:space="preserve">Minerals and Brewing Chemistry </t>
  </si>
  <si>
    <r>
      <t xml:space="preserve">Minerals dissolved in brewing water produce an important effect on the overall chemistry of the brewing process.  The ions from these minerals alter the water’s </t>
    </r>
    <r>
      <rPr>
        <b/>
        <sz val="10"/>
        <rFont val="Arial"/>
        <family val="2"/>
      </rPr>
      <t>pH, Hardness, Alkalinity, Residual Alkalinity,</t>
    </r>
    <r>
      <rPr>
        <sz val="10"/>
        <rFont val="Arial"/>
        <family val="2"/>
      </rPr>
      <t xml:space="preserve"> and </t>
    </r>
    <r>
      <rPr>
        <b/>
        <sz val="10"/>
        <rFont val="Arial"/>
        <family val="2"/>
      </rPr>
      <t>Mineral Content</t>
    </r>
    <r>
      <rPr>
        <sz val="10"/>
        <rFont val="Arial"/>
        <family val="2"/>
      </rPr>
      <t xml:space="preserve">. These interrelated components are the most important factors in defining the suitability of water for brewing. Adjustments to any one factor can have an effect on the others.  A discussion of each factor is presented below. </t>
    </r>
  </si>
  <si>
    <t xml:space="preserve">This section provides the user with basic knowledge that is useful for understanding brewing water chemistry.  Water is the most basic building block in brewing.  Beer can contain up to 97 percent water, so it’s by far the largest component in beer.  A variety of ions and chemicals can be dissolved in water.  Water is seemingly simple, yet its ionic components can drastically affect a finished beer’s quality and perception.  Those effects may range from dramatic to barely perceptible.  The following sections discuss how water affects the brewing process and the quality and perception of beer.   </t>
  </si>
  <si>
    <t xml:space="preserve">Minerals form ions when they dissolve in water. These ions are positively-charged (Cations) and negatively-charged (Anions). The major ions of interest to brewers are shown in the table below. These ions have the greatest effect on the quality and perception of the finished beer. </t>
  </si>
  <si>
    <t xml:space="preserve">Ionic Profiles for Major Brewing Centers after Boiling (in ppm) </t>
  </si>
  <si>
    <t>Ion Concentrations</t>
  </si>
  <si>
    <r>
      <t xml:space="preserve">Water Profile Adjustment Calculator           </t>
    </r>
    <r>
      <rPr>
        <b/>
        <sz val="10"/>
        <rFont val="Arial"/>
        <family val="2"/>
      </rPr>
      <t xml:space="preserve">             </t>
    </r>
    <r>
      <rPr>
        <b/>
        <sz val="10"/>
        <color indexed="12"/>
        <rFont val="Arial"/>
        <family val="2"/>
      </rPr>
      <t xml:space="preserve">   </t>
    </r>
  </si>
  <si>
    <t xml:space="preserve">Water Report Input </t>
  </si>
  <si>
    <r>
      <t xml:space="preserve">                                                        </t>
    </r>
    <r>
      <rPr>
        <b/>
        <u/>
        <sz val="10"/>
        <rFont val="Arial"/>
        <family val="2"/>
      </rPr>
      <t>Beer Color Descriptors</t>
    </r>
    <r>
      <rPr>
        <sz val="10"/>
        <rFont val="Arial"/>
        <family val="2"/>
      </rPr>
      <t xml:space="preserve">
                                                       Yellow:              SRM &lt; 6
                                                       Amber:              SRM between 7 and 17
                                                       Brown:              SRM between 18 and 30
                                                       Black:               SRM &gt; 31</t>
    </r>
  </si>
  <si>
    <t>Liters</t>
  </si>
  <si>
    <t xml:space="preserve">Bru'n Water </t>
  </si>
  <si>
    <t>Water Adjustment Summary</t>
  </si>
  <si>
    <t>Mash Water Additions</t>
  </si>
  <si>
    <t>Sparge Water Additions</t>
  </si>
  <si>
    <t>Estimated Mash pH</t>
  </si>
  <si>
    <t>0 to 100</t>
  </si>
  <si>
    <t>0 to 150</t>
  </si>
  <si>
    <t>0 to 350</t>
  </si>
  <si>
    <t>as needed</t>
  </si>
  <si>
    <t>Recommended Ranges</t>
  </si>
  <si>
    <t>Additions</t>
  </si>
  <si>
    <t>Mash Parameters</t>
  </si>
  <si>
    <t xml:space="preserve">Not Recommended </t>
  </si>
  <si>
    <t>(grams)</t>
  </si>
  <si>
    <t>Sodium (ppm)</t>
  </si>
  <si>
    <t>Chloride (ppm)</t>
  </si>
  <si>
    <r>
      <t>SO</t>
    </r>
    <r>
      <rPr>
        <vertAlign val="subscript"/>
        <sz val="9"/>
        <rFont val="Arial"/>
        <family val="2"/>
      </rPr>
      <t>4</t>
    </r>
    <r>
      <rPr>
        <sz val="9"/>
        <rFont val="Arial"/>
        <family val="2"/>
      </rPr>
      <t>/Cl Ratio</t>
    </r>
  </si>
  <si>
    <r>
      <t>Alkalinity (ppm as CaCO</t>
    </r>
    <r>
      <rPr>
        <vertAlign val="subscript"/>
        <sz val="9"/>
        <rFont val="Arial"/>
        <family val="2"/>
      </rPr>
      <t>3</t>
    </r>
    <r>
      <rPr>
        <sz val="9"/>
        <rFont val="Arial"/>
        <family val="2"/>
      </rPr>
      <t>)</t>
    </r>
  </si>
  <si>
    <r>
      <t>Hardness (ppm as CaCO</t>
    </r>
    <r>
      <rPr>
        <vertAlign val="subscript"/>
        <sz val="9"/>
        <rFont val="Arial"/>
        <family val="2"/>
      </rPr>
      <t>3</t>
    </r>
    <r>
      <rPr>
        <sz val="9"/>
        <rFont val="Arial"/>
        <family val="2"/>
      </rPr>
      <t>)</t>
    </r>
  </si>
  <si>
    <r>
      <t>RA (ppm as CaCO</t>
    </r>
    <r>
      <rPr>
        <vertAlign val="subscript"/>
        <sz val="9"/>
        <rFont val="Arial"/>
        <family val="2"/>
      </rPr>
      <t>3</t>
    </r>
    <r>
      <rPr>
        <sz val="9"/>
        <rFont val="Arial"/>
        <family val="2"/>
      </rPr>
      <t>)</t>
    </r>
  </si>
  <si>
    <r>
      <t>Although the effect of boiling on Temporary Hardness is well documented and understood, the effect of minor water heating is less understood.  Since the solubility of CO</t>
    </r>
    <r>
      <rPr>
        <vertAlign val="subscript"/>
        <sz val="10"/>
        <rFont val="Arial"/>
        <family val="2"/>
      </rPr>
      <t>2</t>
    </r>
    <r>
      <rPr>
        <sz val="10"/>
        <rFont val="Arial"/>
        <family val="2"/>
      </rPr>
      <t xml:space="preserve"> is inversely proportional to the water's temperature, it follows that minor heating will produce some of the effects of boiling.  Bubbles can often been seen on the side of the kettle as the water heats.  Therefore, a partial reduction in alkalinity and calcium content may occur when heating water with high Temporary Hardness to mashing or sparging temperature if the water is stirred and the bubbles are forced into the atmosphere   Since precipitation and decanting is not typically performed for mashing and sparge water preparation, the effectiveness of heating on the alkalinity and calcium reduction is probably limited.  As already known for chalk, the precipitated CaCO</t>
    </r>
    <r>
      <rPr>
        <vertAlign val="subscript"/>
        <sz val="10"/>
        <rFont val="Arial"/>
        <family val="2"/>
      </rPr>
      <t>3</t>
    </r>
    <r>
      <rPr>
        <sz val="10"/>
        <rFont val="Arial"/>
        <family val="2"/>
      </rPr>
      <t xml:space="preserve"> in the water does not readily redissolve in the mash and therefore the heating may provide some minor alkalinity and calcium reduction.   </t>
    </r>
  </si>
  <si>
    <r>
      <t>SO</t>
    </r>
    <r>
      <rPr>
        <vertAlign val="subscript"/>
        <sz val="8"/>
        <rFont val="Arial"/>
        <family val="2"/>
      </rPr>
      <t>4</t>
    </r>
    <r>
      <rPr>
        <sz val="8"/>
        <rFont val="Arial"/>
        <family val="2"/>
      </rPr>
      <t>/Cl Ratio</t>
    </r>
  </si>
  <si>
    <t xml:space="preserve">pH  </t>
  </si>
  <si>
    <t xml:space="preserve">Hardness  </t>
  </si>
  <si>
    <t xml:space="preserve">Alkalinity  </t>
  </si>
  <si>
    <t xml:space="preserve">Residual Alkalinity  </t>
  </si>
  <si>
    <t xml:space="preserve">Mineral Content  </t>
  </si>
  <si>
    <t xml:space="preserve">Chlorine Removal </t>
  </si>
  <si>
    <t xml:space="preserve">Hardness Adjustment  </t>
  </si>
  <si>
    <t xml:space="preserve">Alkalinity Adjustment </t>
  </si>
  <si>
    <t xml:space="preserve">Mineral Profile Adjustment  </t>
  </si>
  <si>
    <t xml:space="preserve">
Mineral additions are sometimes desirable for RA adjustment and for creating certain flavor contributions in the finished beer.  Common mineral salts are typically used to provide the mineral additions.  The following mineral salts are commonly used in brewing water adjustment.  Only food-grade minerals should be used for water adjustment.</t>
  </si>
  <si>
    <t xml:space="preserve">Dissolved minerals are present in all natural waters. The type and concentration of those dissolved minerals can have a profound effect on the suitability of water for brewing use, its mashing performance, and the flavor perception of beer.  A discussion of dissolved minerals that are a concern to brewers is presented below. </t>
  </si>
  <si>
    <r>
      <t xml:space="preserve">Increasing water hardness is fairly easy.  </t>
    </r>
    <r>
      <rPr>
        <b/>
        <sz val="10"/>
        <rFont val="Arial"/>
        <family val="2"/>
      </rPr>
      <t>Gypsum</t>
    </r>
    <r>
      <rPr>
        <sz val="10"/>
        <rFont val="Arial"/>
        <family val="2"/>
      </rPr>
      <t xml:space="preserve"> (calcium sulfate), </t>
    </r>
    <r>
      <rPr>
        <b/>
        <sz val="10"/>
        <rFont val="Arial"/>
        <family val="2"/>
      </rPr>
      <t xml:space="preserve">Epsom Salt </t>
    </r>
    <r>
      <rPr>
        <sz val="10"/>
        <rFont val="Arial"/>
        <family val="2"/>
      </rPr>
      <t xml:space="preserve">(magnesium sulfate), </t>
    </r>
    <r>
      <rPr>
        <b/>
        <sz val="10"/>
        <rFont val="Arial"/>
        <family val="2"/>
      </rPr>
      <t>Calcium Chloride</t>
    </r>
    <r>
      <rPr>
        <sz val="10"/>
        <rFont val="Arial"/>
        <family val="2"/>
      </rPr>
      <t xml:space="preserve">, </t>
    </r>
    <r>
      <rPr>
        <b/>
        <sz val="10"/>
        <rFont val="Arial"/>
        <family val="2"/>
      </rPr>
      <t>Chalk</t>
    </r>
    <r>
      <rPr>
        <sz val="10"/>
        <rFont val="Arial"/>
        <family val="2"/>
      </rPr>
      <t xml:space="preserve"> (calcium carbonate), or </t>
    </r>
    <r>
      <rPr>
        <b/>
        <sz val="10"/>
        <rFont val="Arial"/>
        <family val="2"/>
      </rPr>
      <t>Pickling Lime</t>
    </r>
    <r>
      <rPr>
        <sz val="10"/>
        <rFont val="Arial"/>
        <family val="2"/>
      </rPr>
      <t xml:space="preserve"> (calcium hydroxide) are used to increase the hardness.  </t>
    </r>
  </si>
  <si>
    <r>
      <rPr>
        <b/>
        <sz val="10"/>
        <rFont val="Arial"/>
        <family val="2"/>
      </rPr>
      <t>pH</t>
    </r>
    <r>
      <rPr>
        <sz val="10"/>
        <rFont val="Arial"/>
        <family val="2"/>
      </rPr>
      <t xml:space="preserve"> is a measure of the acidity or alkalinity of water.  It is related to the concentration of hydrogen (H+) ions in a solution. A very small percentage of the water molecules (H</t>
    </r>
    <r>
      <rPr>
        <vertAlign val="subscript"/>
        <sz val="10"/>
        <rFont val="Arial"/>
        <family val="2"/>
      </rPr>
      <t>2</t>
    </r>
    <r>
      <rPr>
        <sz val="10"/>
        <rFont val="Arial"/>
        <family val="2"/>
      </rPr>
      <t>O) naturally split into hydrogen (H+) and hydroxyl (-OH) ions.  A neutral pH of 7.0 indicates a balanced population of those ions (at 25</t>
    </r>
    <r>
      <rPr>
        <sz val="10"/>
        <rFont val="Calibri"/>
        <family val="2"/>
      </rPr>
      <t>°</t>
    </r>
    <r>
      <rPr>
        <sz val="10"/>
        <rFont val="Arial"/>
        <family val="2"/>
      </rPr>
      <t xml:space="preserve">C).  Acidic solutions have a pH of between 0 and 7 while Basic solutions have a pH between 7 and 14.  The pH of typical municipal water supplies generally lies between 6.5 and 8.5.  </t>
    </r>
  </si>
  <si>
    <t>Dublin (boiled)</t>
  </si>
  <si>
    <t>Edinburgh (boiled)</t>
  </si>
  <si>
    <t>London (boiled)</t>
  </si>
  <si>
    <t>Vienna (boiled)</t>
  </si>
  <si>
    <t>Dusseldorf (boiled)</t>
  </si>
  <si>
    <t>Beerse (boiled)</t>
  </si>
  <si>
    <t>Brugse (boiled)</t>
  </si>
  <si>
    <t>Brussels (boiled)</t>
  </si>
  <si>
    <t>Hoegaarden (boiled)</t>
  </si>
  <si>
    <t>Willebroek (boiled)</t>
  </si>
  <si>
    <t>Antwerpen/Anvers (boiled)</t>
  </si>
  <si>
    <t>Brabant (boiled)</t>
  </si>
  <si>
    <t>Henegouwen/Hainaut (boiled)</t>
  </si>
  <si>
    <t>Orval (boiled)</t>
  </si>
  <si>
    <t>Rochefort (boiled)</t>
  </si>
  <si>
    <t>Chimay (boiled)</t>
  </si>
  <si>
    <t>West Flanders (boiled)</t>
  </si>
  <si>
    <t>East Flanders (boiled)</t>
  </si>
  <si>
    <t>Luik/Liege (boiled)</t>
  </si>
  <si>
    <t>Ardennes (boiled)</t>
  </si>
  <si>
    <t>Munich (boiled)</t>
  </si>
  <si>
    <r>
      <rPr>
        <b/>
        <sz val="10"/>
        <rFont val="Arial"/>
        <family val="2"/>
      </rPr>
      <t>Decarbonation by Boiling</t>
    </r>
    <r>
      <rPr>
        <sz val="10"/>
        <rFont val="Arial"/>
        <family val="2"/>
      </rPr>
      <t xml:space="preserve"> is a practice that was employed historically and it does reduce alkalinity and calcium (hardness) in water with high Temporary Hardness.  The boiling process drives off carbon dioxide (CO</t>
    </r>
    <r>
      <rPr>
        <vertAlign val="subscript"/>
        <sz val="10"/>
        <rFont val="Arial"/>
        <family val="2"/>
      </rPr>
      <t>2</t>
    </r>
    <r>
      <rPr>
        <sz val="10"/>
        <rFont val="Arial"/>
        <family val="2"/>
      </rPr>
      <t>) that helps keep chalk (CaCO</t>
    </r>
    <r>
      <rPr>
        <vertAlign val="subscript"/>
        <sz val="10"/>
        <rFont val="Arial"/>
        <family val="2"/>
      </rPr>
      <t>3</t>
    </r>
    <r>
      <rPr>
        <sz val="10"/>
        <rFont val="Arial"/>
        <family val="2"/>
      </rPr>
      <t>) soluble in water.  When the CO</t>
    </r>
    <r>
      <rPr>
        <vertAlign val="subscript"/>
        <sz val="10"/>
        <rFont val="Arial"/>
        <family val="2"/>
      </rPr>
      <t>2</t>
    </r>
    <r>
      <rPr>
        <sz val="10"/>
        <rFont val="Arial"/>
        <family val="2"/>
      </rPr>
      <t xml:space="preserve"> is driven off, the CaCO</t>
    </r>
    <r>
      <rPr>
        <vertAlign val="subscript"/>
        <sz val="10"/>
        <rFont val="Arial"/>
        <family val="2"/>
      </rPr>
      <t>3</t>
    </r>
    <r>
      <rPr>
        <sz val="10"/>
        <rFont val="Arial"/>
        <family val="2"/>
      </rPr>
      <t xml:space="preserve"> will precipitate out of the water.  </t>
    </r>
  </si>
  <si>
    <t>Temporary hardness can be removed by boiling the water to drive off dissolved carbon dioxide which causes calcium carbonate and magnesium carbonate to precipitate out of the water.  After the water clears, the water is immediately decanted off the sediment and used for brewing.  This treatment does not remove permanent hardness.  Like chlorine removal, this method requires time and energy to complete.  An extended discussion of this method is presented in the Alkalinity section below.</t>
  </si>
  <si>
    <r>
      <t xml:space="preserve">          1 German degree Hardness = 17.85 ppm as CaCO</t>
    </r>
    <r>
      <rPr>
        <vertAlign val="subscript"/>
        <sz val="10"/>
        <rFont val="Arial"/>
        <family val="2"/>
      </rPr>
      <t>3</t>
    </r>
    <r>
      <rPr>
        <sz val="10"/>
        <rFont val="Arial"/>
        <family val="2"/>
      </rPr>
      <t xml:space="preserve"> = 7.14 ppm Ca
          1 German degree Carbonate Hardness = 17.85 ppm Alkalinity as CaCO</t>
    </r>
    <r>
      <rPr>
        <vertAlign val="subscript"/>
        <sz val="10"/>
        <rFont val="Arial"/>
        <family val="2"/>
      </rPr>
      <t>3</t>
    </r>
    <r>
      <rPr>
        <sz val="10"/>
        <rFont val="Arial"/>
        <family val="2"/>
      </rPr>
      <t xml:space="preserve"> = 21.8 ppm HCO</t>
    </r>
    <r>
      <rPr>
        <vertAlign val="subscript"/>
        <sz val="10"/>
        <rFont val="Arial"/>
        <family val="2"/>
      </rPr>
      <t>3</t>
    </r>
    <r>
      <rPr>
        <sz val="10"/>
        <rFont val="Arial"/>
        <family val="2"/>
      </rPr>
      <t xml:space="preserve">   
          1 American degree Hardness = 1 grain per gallon = 17.1 ppm as CaCO</t>
    </r>
    <r>
      <rPr>
        <vertAlign val="subscript"/>
        <sz val="10"/>
        <rFont val="Arial"/>
        <family val="2"/>
      </rPr>
      <t>3</t>
    </r>
    <r>
      <rPr>
        <sz val="10"/>
        <rFont val="Arial"/>
        <family val="2"/>
      </rPr>
      <t xml:space="preserve"> = 6.86 ppm Ca 
          1 American degree Alkalinity = 1 grain per gallon = 17.1 ppm as CaCO</t>
    </r>
    <r>
      <rPr>
        <vertAlign val="subscript"/>
        <sz val="10"/>
        <rFont val="Arial"/>
        <family val="2"/>
      </rPr>
      <t>3</t>
    </r>
    <r>
      <rPr>
        <sz val="10"/>
        <rFont val="Arial"/>
        <family val="2"/>
      </rPr>
      <t xml:space="preserve"> = 20.8 ppm HCO</t>
    </r>
    <r>
      <rPr>
        <vertAlign val="subscript"/>
        <sz val="10"/>
        <rFont val="Arial"/>
        <family val="2"/>
      </rPr>
      <t>3</t>
    </r>
    <r>
      <rPr>
        <sz val="10"/>
        <rFont val="Arial"/>
        <family val="2"/>
      </rPr>
      <t xml:space="preserve">
          1 mEq/L Hardness = 50 ppm Hardness as CaCO</t>
    </r>
    <r>
      <rPr>
        <vertAlign val="subscript"/>
        <sz val="10"/>
        <rFont val="Arial"/>
        <family val="2"/>
      </rPr>
      <t>3</t>
    </r>
    <r>
      <rPr>
        <sz val="10"/>
        <rFont val="Arial"/>
        <family val="2"/>
      </rPr>
      <t xml:space="preserve"> = 20 ppm Ca 
          1 mEq/L Alkalinity = 50 ppm Alkalinity as CaCO</t>
    </r>
    <r>
      <rPr>
        <vertAlign val="subscript"/>
        <sz val="10"/>
        <rFont val="Arial"/>
        <family val="2"/>
      </rPr>
      <t>3</t>
    </r>
    <r>
      <rPr>
        <sz val="10"/>
        <rFont val="Arial"/>
        <family val="2"/>
      </rPr>
      <t xml:space="preserve"> = 61 ppm HCO</t>
    </r>
    <r>
      <rPr>
        <vertAlign val="subscript"/>
        <sz val="10"/>
        <rFont val="Arial"/>
        <family val="2"/>
      </rPr>
      <t xml:space="preserve">3  
     </t>
    </r>
  </si>
  <si>
    <r>
      <t>Boiling reduces both bicarbonate and calcium content of the water when performed properly.  The practical limit for the process reduces the bicarbonate content to between 60 and 80 ppm.  Therefore, the quantity of CaCO</t>
    </r>
    <r>
      <rPr>
        <vertAlign val="subscript"/>
        <sz val="10"/>
        <rFont val="Arial"/>
        <family val="2"/>
      </rPr>
      <t>3</t>
    </r>
    <r>
      <rPr>
        <sz val="10"/>
        <rFont val="Arial"/>
        <family val="2"/>
      </rPr>
      <t xml:space="preserve"> that can be precipitated will be based on the difference between the starting and ending (60 to 80ppm) bicarbonate content.  A reasonable assumption is to use the upper bicarbonate limit for the ending bicarbonate concentration since that allows for more error in the process.  The ending calcium content for the water can be calulated using the following formula:  </t>
    </r>
  </si>
  <si>
    <r>
      <t>Nitrate (ppm as NO</t>
    </r>
    <r>
      <rPr>
        <vertAlign val="subscript"/>
        <sz val="10"/>
        <rFont val="Arial"/>
        <family val="2"/>
      </rPr>
      <t>3</t>
    </r>
    <r>
      <rPr>
        <sz val="10"/>
        <rFont val="Arial"/>
        <family val="2"/>
      </rPr>
      <t>-N)</t>
    </r>
  </si>
  <si>
    <r>
      <t>Total Hardness, as CaCO</t>
    </r>
    <r>
      <rPr>
        <vertAlign val="subscript"/>
        <sz val="10"/>
        <rFont val="Arial"/>
        <family val="2"/>
      </rPr>
      <t>3</t>
    </r>
    <r>
      <rPr>
        <sz val="10"/>
        <rFont val="Arial"/>
        <family val="2"/>
      </rPr>
      <t>, (ppm)</t>
    </r>
  </si>
  <si>
    <r>
      <t>Permanent Hardness, as CaCO</t>
    </r>
    <r>
      <rPr>
        <vertAlign val="subscript"/>
        <sz val="10"/>
        <rFont val="Arial"/>
        <family val="2"/>
      </rPr>
      <t>3</t>
    </r>
    <r>
      <rPr>
        <sz val="10"/>
        <rFont val="Arial"/>
        <family val="2"/>
      </rPr>
      <t>, (ppm)</t>
    </r>
  </si>
  <si>
    <r>
      <t>Temporary Hardness, as CaCO</t>
    </r>
    <r>
      <rPr>
        <vertAlign val="subscript"/>
        <sz val="10"/>
        <rFont val="Arial"/>
        <family val="2"/>
      </rPr>
      <t>3</t>
    </r>
    <r>
      <rPr>
        <sz val="10"/>
        <rFont val="Arial"/>
        <family val="2"/>
      </rPr>
      <t>, (ppm)</t>
    </r>
  </si>
  <si>
    <r>
      <rPr>
        <b/>
        <sz val="10"/>
        <rFont val="Arial"/>
        <family val="2"/>
      </rPr>
      <t>Hardness</t>
    </r>
    <r>
      <rPr>
        <sz val="10"/>
        <rFont val="Arial"/>
        <family val="2"/>
      </rPr>
      <t xml:space="preserve"> in water is primarily due to the calcium and magnesium content of drinking water. High concentration of calcium or magnesium ions produces hard water and low concentration of those ions produce soft water. Water Hardness can be either Temporary or Permanent. Total Hardness is the sum of Temporary and Permanent Hardness.</t>
    </r>
  </si>
  <si>
    <r>
      <t>This process does not reduce the magnesium content since Mg(OH)</t>
    </r>
    <r>
      <rPr>
        <vertAlign val="subscript"/>
        <sz val="10"/>
        <rFont val="Arial"/>
        <family val="2"/>
      </rPr>
      <t>2</t>
    </r>
    <r>
      <rPr>
        <sz val="10"/>
        <rFont val="Arial"/>
        <family val="2"/>
      </rPr>
      <t xml:space="preserve"> is much more soluble than CaCO</t>
    </r>
    <r>
      <rPr>
        <vertAlign val="subscript"/>
        <sz val="10"/>
        <rFont val="Arial"/>
        <family val="2"/>
      </rPr>
      <t>3</t>
    </r>
    <r>
      <rPr>
        <sz val="10"/>
        <rFont val="Arial"/>
        <family val="2"/>
      </rPr>
      <t xml:space="preserve"> in water and the CaCO</t>
    </r>
    <r>
      <rPr>
        <vertAlign val="subscript"/>
        <sz val="10"/>
        <rFont val="Arial"/>
        <family val="2"/>
      </rPr>
      <t>3</t>
    </r>
    <r>
      <rPr>
        <sz val="10"/>
        <rFont val="Arial"/>
        <family val="2"/>
      </rPr>
      <t xml:space="preserve"> precipitates first, leaving the magnesium with the remaining bicarbonate in the water.  </t>
    </r>
  </si>
  <si>
    <t>Mash Dilution Vol (gal)</t>
  </si>
  <si>
    <t>Sparge Dilution Vol (gal)</t>
  </si>
  <si>
    <t>Total Mash Water Vol (gal)</t>
  </si>
  <si>
    <t>Total Sparge Water Vol (gal)</t>
  </si>
  <si>
    <t>Input Custom Water Profiles at the bottom of the Table below</t>
  </si>
  <si>
    <t>(ppm)</t>
  </si>
  <si>
    <t xml:space="preserve">Beer Name: </t>
  </si>
  <si>
    <t>Hardness is not a detriment to good brewing.  Soft water is not always desirable.  Excessive Alkalinity is the primary detriment to good brewing!</t>
  </si>
  <si>
    <t>ml/mg</t>
  </si>
  <si>
    <t>gm/tsp</t>
  </si>
  <si>
    <t>dose</t>
  </si>
  <si>
    <t>(ml)</t>
  </si>
  <si>
    <t>Total Acid Addition (ml)</t>
  </si>
  <si>
    <t>Total Acid Addition (gram)</t>
  </si>
  <si>
    <t>Addition        (mL/gal)</t>
  </si>
  <si>
    <t>Solid</t>
  </si>
  <si>
    <t>Addition        (gram/gal)</t>
  </si>
  <si>
    <t>Starting Water Alkalinity =</t>
  </si>
  <si>
    <t>Strength</t>
  </si>
  <si>
    <r>
      <t xml:space="preserve">                        </t>
    </r>
    <r>
      <rPr>
        <b/>
        <u/>
        <sz val="10"/>
        <rFont val="Arial"/>
        <family val="2"/>
      </rPr>
      <t xml:space="preserve">Ion </t>
    </r>
    <r>
      <rPr>
        <sz val="10"/>
        <rFont val="Arial"/>
        <family val="2"/>
      </rPr>
      <t xml:space="preserve">                                                       </t>
    </r>
    <r>
      <rPr>
        <b/>
        <u/>
        <sz val="10"/>
        <rFont val="Arial"/>
        <family val="2"/>
      </rPr>
      <t xml:space="preserve">Conversion </t>
    </r>
    <r>
      <rPr>
        <sz val="10"/>
        <rFont val="Arial"/>
        <family val="2"/>
      </rPr>
      <t xml:space="preserve">
                        Calcium as CaCO</t>
    </r>
    <r>
      <rPr>
        <vertAlign val="subscript"/>
        <sz val="10"/>
        <rFont val="Arial"/>
        <family val="2"/>
      </rPr>
      <t xml:space="preserve">3 </t>
    </r>
    <r>
      <rPr>
        <sz val="10"/>
        <rFont val="Arial"/>
        <family val="2"/>
      </rPr>
      <t>(ppm):                   multiply by 0.401 to convert to (ppm) Calcium
                        Magnesium as CaCO</t>
    </r>
    <r>
      <rPr>
        <vertAlign val="subscript"/>
        <sz val="10"/>
        <rFont val="Arial"/>
        <family val="2"/>
      </rPr>
      <t xml:space="preserve">3 </t>
    </r>
    <r>
      <rPr>
        <sz val="10"/>
        <rFont val="Arial"/>
        <family val="2"/>
      </rPr>
      <t>(ppm):              multiply by 0.243 to convert to (ppm) Magnesium                                                            
                        Bicarbonate as CaCO</t>
    </r>
    <r>
      <rPr>
        <vertAlign val="subscript"/>
        <sz val="10"/>
        <rFont val="Arial"/>
        <family val="2"/>
      </rPr>
      <t>3</t>
    </r>
    <r>
      <rPr>
        <sz val="10"/>
        <rFont val="Arial"/>
        <family val="2"/>
      </rPr>
      <t>(ppm):              multiply by 1.22 to convert to (ppm) Bicarbonate
                        Carbonate as CaCO</t>
    </r>
    <r>
      <rPr>
        <vertAlign val="subscript"/>
        <sz val="10"/>
        <rFont val="Arial"/>
        <family val="2"/>
      </rPr>
      <t>3</t>
    </r>
    <r>
      <rPr>
        <sz val="10"/>
        <rFont val="Arial"/>
        <family val="2"/>
      </rPr>
      <t>(ppm):                multiply by 0.60 to convert to (ppm) Carbonate
                        Sulfate as Sulfur (ppm as SO</t>
    </r>
    <r>
      <rPr>
        <vertAlign val="subscript"/>
        <sz val="10"/>
        <rFont val="Arial"/>
        <family val="2"/>
      </rPr>
      <t>4</t>
    </r>
    <r>
      <rPr>
        <sz val="10"/>
        <rFont val="Arial"/>
        <family val="2"/>
      </rPr>
      <t>-S):        multiply by 3.0 to convert to (ppm) Sulfate
                        Nitrate as Nitrogen (ppm as NO</t>
    </r>
    <r>
      <rPr>
        <vertAlign val="subscript"/>
        <sz val="10"/>
        <rFont val="Arial"/>
        <family val="2"/>
      </rPr>
      <t>3</t>
    </r>
    <r>
      <rPr>
        <sz val="10"/>
        <rFont val="Arial"/>
        <family val="2"/>
      </rPr>
      <t>-N):     multiply by 4.43 to convert to (ppm) Nitrate</t>
    </r>
  </si>
  <si>
    <r>
      <t xml:space="preserve">The first thing to check is the units used to report the ion concentrations.  All units are input into </t>
    </r>
    <r>
      <rPr>
        <b/>
        <sz val="10"/>
        <rFont val="Arial"/>
        <family val="2"/>
      </rPr>
      <t>Bru'n Water</t>
    </r>
    <r>
      <rPr>
        <sz val="10"/>
        <rFont val="Arial"/>
        <family val="2"/>
      </rPr>
      <t xml:space="preserve"> in </t>
    </r>
    <r>
      <rPr>
        <b/>
        <sz val="10"/>
        <rFont val="Arial"/>
        <family val="2"/>
      </rPr>
      <t xml:space="preserve">ppm </t>
    </r>
    <r>
      <rPr>
        <sz val="10"/>
        <rFont val="Arial"/>
        <family val="2"/>
      </rPr>
      <t xml:space="preserve">or </t>
    </r>
    <r>
      <rPr>
        <b/>
        <sz val="10"/>
        <rFont val="Arial"/>
        <family val="2"/>
      </rPr>
      <t>mg/L</t>
    </r>
    <r>
      <rPr>
        <sz val="10"/>
        <rFont val="Arial"/>
        <family val="2"/>
      </rPr>
      <t xml:space="preserve"> (milligrams per liter) units, but sometimes water reports present some concentrations in parts per billion (</t>
    </r>
    <r>
      <rPr>
        <b/>
        <sz val="10"/>
        <rFont val="Arial"/>
        <family val="2"/>
      </rPr>
      <t>ppb</t>
    </r>
    <r>
      <rPr>
        <sz val="10"/>
        <rFont val="Arial"/>
        <family val="2"/>
      </rPr>
      <t xml:space="preserve">) or </t>
    </r>
    <r>
      <rPr>
        <b/>
        <sz val="10"/>
        <rFont val="Arial"/>
        <family val="2"/>
      </rPr>
      <t>µg/L</t>
    </r>
    <r>
      <rPr>
        <sz val="10"/>
        <rFont val="Arial"/>
        <family val="2"/>
      </rPr>
      <t xml:space="preserve"> (micrograms per liter) units.  If a concentration is reported in the </t>
    </r>
    <r>
      <rPr>
        <b/>
        <sz val="10"/>
        <rFont val="Arial"/>
        <family val="2"/>
      </rPr>
      <t>ppb</t>
    </r>
    <r>
      <rPr>
        <sz val="10"/>
        <rFont val="Arial"/>
        <family val="2"/>
      </rPr>
      <t xml:space="preserve"> or</t>
    </r>
    <r>
      <rPr>
        <b/>
        <sz val="10"/>
        <rFont val="Arial"/>
        <family val="2"/>
      </rPr>
      <t xml:space="preserve"> µg/L</t>
    </r>
    <r>
      <rPr>
        <sz val="10"/>
        <rFont val="Arial"/>
        <family val="2"/>
      </rPr>
      <t xml:space="preserve"> units, that value must be divided by 1000 to convert it to ppm or mg/L units.  For instance, </t>
    </r>
    <r>
      <rPr>
        <b/>
        <sz val="10"/>
        <rFont val="Arial"/>
        <family val="2"/>
      </rPr>
      <t>200 ppb</t>
    </r>
    <r>
      <rPr>
        <sz val="10"/>
        <rFont val="Arial"/>
        <family val="2"/>
      </rPr>
      <t xml:space="preserve"> is equal to </t>
    </r>
    <r>
      <rPr>
        <b/>
        <sz val="10"/>
        <rFont val="Arial"/>
        <family val="2"/>
      </rPr>
      <t>0.2 ppm.</t>
    </r>
  </si>
  <si>
    <t>None</t>
  </si>
  <si>
    <r>
      <t>The equation above assumes that the water has a high enough calcium concentration to execute the reaction to volatilize the CO</t>
    </r>
    <r>
      <rPr>
        <vertAlign val="subscript"/>
        <sz val="10"/>
        <rFont val="Arial"/>
        <family val="2"/>
      </rPr>
      <t>2</t>
    </r>
    <r>
      <rPr>
        <sz val="10"/>
        <rFont val="Arial"/>
        <family val="2"/>
      </rPr>
      <t xml:space="preserve"> and precipitate the CaCO</t>
    </r>
    <r>
      <rPr>
        <vertAlign val="subscript"/>
        <sz val="10"/>
        <rFont val="Arial"/>
        <family val="2"/>
      </rPr>
      <t>3</t>
    </r>
    <r>
      <rPr>
        <sz val="10"/>
        <rFont val="Arial"/>
        <family val="2"/>
      </rPr>
      <t xml:space="preserve">.  An ending calcium concentration that is negative indicates that additional calcium would be required.  </t>
    </r>
    <r>
      <rPr>
        <b/>
        <sz val="10"/>
        <rFont val="Arial"/>
        <family val="2"/>
      </rPr>
      <t>The lowest practical ending calcium concentration is about 12 ppm.</t>
    </r>
    <r>
      <rPr>
        <sz val="10"/>
        <rFont val="Arial"/>
        <family val="2"/>
      </rPr>
      <t xml:space="preserve">  If the calcium concentration is not high enough, it will be neccessary to add calcium in the form of Gypsum or Calcium Chloride to achieve the ending 80 ppm bicarbonate concentration.  The decision as to which of these supplemental calcium sources to use should be based on the desire for more sulfate or more chloride in the water.  </t>
    </r>
  </si>
  <si>
    <t>Ca</t>
  </si>
  <si>
    <t>Mg</t>
  </si>
  <si>
    <t>Na</t>
  </si>
  <si>
    <t>HCO3</t>
  </si>
  <si>
    <t>SO4</t>
  </si>
  <si>
    <t>Cl</t>
  </si>
  <si>
    <t>Sparge</t>
  </si>
  <si>
    <t>Batch Volume</t>
  </si>
  <si>
    <t>Sparge Dilution</t>
  </si>
  <si>
    <t>Total Sparge</t>
  </si>
  <si>
    <t>Mash Dilution</t>
  </si>
  <si>
    <t>Total Mash</t>
  </si>
  <si>
    <t>Convert (ug/L or ppb) to (mg/L or ppm)</t>
  </si>
  <si>
    <t>Total Dissolved Solids (TDS) (ppm)</t>
  </si>
  <si>
    <r>
      <t xml:space="preserve">            Most water sources that have an acceptable taste can be used to brew beer.  But to brew great beer across a wide variety of styles, adjustment of brewing water is probably needed.   </t>
    </r>
    <r>
      <rPr>
        <b/>
        <sz val="10"/>
        <rFont val="Arial"/>
        <family val="2"/>
      </rPr>
      <t>Bru'n Water</t>
    </r>
    <r>
      <rPr>
        <sz val="10"/>
        <rFont val="Arial"/>
        <family val="2"/>
      </rPr>
      <t xml:space="preserve"> is a brewing water analysis program that enables a brewer to successfully evaluate and modify their water supply to improve their beer.  The program steps through the evaluation of a brewer's water supply, adjustment to a desired water profile, evaluation of potential mash pH, and adjustments to produce desirable mash pH. </t>
    </r>
  </si>
  <si>
    <t>Tart or crisp beer styles may benefit from a mash pH range of 5.2 to 5.3</t>
  </si>
  <si>
    <t>Suggested mash pH range for lighter colored beers is 5.3 to 5.4</t>
  </si>
  <si>
    <t>Link to the On-Line Version of Water Knowledge</t>
  </si>
  <si>
    <t>Calcium Hardness (meq/L) or (mval)</t>
  </si>
  <si>
    <t>Alkalinity (meq/L) or (mval)</t>
  </si>
  <si>
    <t>Total Cations (meq/L) or (mval)</t>
  </si>
  <si>
    <t>Total Anions (meq/L) or (mval)</t>
  </si>
  <si>
    <t>Bru'n Water Knowledge</t>
  </si>
  <si>
    <t xml:space="preserve">Alkalinity affects the performance of the mash through RA.  Alkalinity is produced by bicarbonate, carbonate, and hydroxyl in the water.  Bicarbonate is the predominant species in the typical municipal water system pH range of 6.5 to 8.5.  There are several reasons why bicarbonate is the predominant species in tap water.  Carbonate does not exist in significant concentration in that typical water pH range since it is preferentially transformed to bicarbonate.  Hydroxyl is a strong base that reacts easily with impurities in the water.  Since there are typically impurities in the water, hydroxyl does not exist in significant concentration in water supplies. </t>
  </si>
  <si>
    <t>Alkalinity can be reduced in a number of ways.  Dilution with distilled water or RO water is effective in reducing alkalinity.  Acid addition is also a simple way to neutralize alkalinity.</t>
  </si>
  <si>
    <r>
      <t>Baking Soda (NaHCO</t>
    </r>
    <r>
      <rPr>
        <b/>
        <vertAlign val="subscript"/>
        <sz val="9"/>
        <rFont val="Arial"/>
        <family val="2"/>
      </rPr>
      <t>3</t>
    </r>
    <r>
      <rPr>
        <b/>
        <sz val="9"/>
        <rFont val="Arial"/>
        <family val="2"/>
      </rPr>
      <t>)</t>
    </r>
  </si>
  <si>
    <r>
      <t>Calcium Chloride (CaCl</t>
    </r>
    <r>
      <rPr>
        <b/>
        <vertAlign val="subscript"/>
        <sz val="9"/>
        <rFont val="Arial"/>
        <family val="2"/>
      </rPr>
      <t>2</t>
    </r>
    <r>
      <rPr>
        <b/>
        <sz val="9"/>
        <rFont val="Arial"/>
        <family val="2"/>
      </rPr>
      <t>)</t>
    </r>
  </si>
  <si>
    <r>
      <t>Chalk (CaCO</t>
    </r>
    <r>
      <rPr>
        <b/>
        <vertAlign val="subscript"/>
        <sz val="9"/>
        <rFont val="Arial"/>
        <family val="2"/>
      </rPr>
      <t>3</t>
    </r>
    <r>
      <rPr>
        <b/>
        <sz val="9"/>
        <rFont val="Arial"/>
        <family val="2"/>
      </rPr>
      <t>)</t>
    </r>
  </si>
  <si>
    <r>
      <t>Pickling Lime (Ca(OH)</t>
    </r>
    <r>
      <rPr>
        <b/>
        <vertAlign val="subscript"/>
        <sz val="9"/>
        <rFont val="Arial"/>
        <family val="2"/>
      </rPr>
      <t>2</t>
    </r>
    <r>
      <rPr>
        <b/>
        <sz val="9"/>
        <rFont val="Arial"/>
        <family val="2"/>
      </rPr>
      <t>)</t>
    </r>
  </si>
  <si>
    <r>
      <t>Magnesium Chloride (MgCl</t>
    </r>
    <r>
      <rPr>
        <b/>
        <vertAlign val="subscript"/>
        <sz val="9"/>
        <rFont val="Arial"/>
        <family val="2"/>
      </rPr>
      <t>2</t>
    </r>
    <r>
      <rPr>
        <b/>
        <sz val="9"/>
        <rFont val="Arial"/>
        <family val="2"/>
      </rPr>
      <t>)</t>
    </r>
  </si>
  <si>
    <t>0 to 30</t>
  </si>
  <si>
    <t>Gallons</t>
  </si>
  <si>
    <t>Barrels</t>
  </si>
  <si>
    <t>Hectoliters</t>
  </si>
  <si>
    <t>mL/L</t>
  </si>
  <si>
    <t>L/HL</t>
  </si>
  <si>
    <t>gal/BBL</t>
  </si>
  <si>
    <t>BBL/BBL</t>
  </si>
  <si>
    <t>HL/HL</t>
  </si>
  <si>
    <t>Addition   (gram/L)</t>
  </si>
  <si>
    <t>Addition   (gram/gal)</t>
  </si>
  <si>
    <t>Addition   (gram/BBL)</t>
  </si>
  <si>
    <t>Addition   (gram/HL)</t>
  </si>
  <si>
    <t>Water Volume   (L)</t>
  </si>
  <si>
    <t>Water Volume   (BBL)</t>
  </si>
  <si>
    <t>Water Volume   (HL)</t>
  </si>
  <si>
    <t>Quantity (kg)</t>
  </si>
  <si>
    <t>Quantity (g)</t>
  </si>
  <si>
    <t>Batch Water Volume (gallons) ---&gt;</t>
  </si>
  <si>
    <t>Mash Water Volume (gallons)---&gt;</t>
  </si>
  <si>
    <t>Total Grist Weight (kg)</t>
  </si>
  <si>
    <t>Water to Grist Ratio (L/Kg)</t>
  </si>
  <si>
    <t>Mash Water Volume (Liters)---&gt;</t>
  </si>
  <si>
    <t>Batch Water Volume (Liters)---&gt;</t>
  </si>
  <si>
    <t>Batch Water Volume (Barrels)---&gt;</t>
  </si>
  <si>
    <t>Mash Water Volume (Hectoliters)---&gt;</t>
  </si>
  <si>
    <t>Batch Water Volume (Hectoliters)---&gt;</t>
  </si>
  <si>
    <t>Dilution Water Profiles</t>
  </si>
  <si>
    <t>Batch Volume (liters)</t>
  </si>
  <si>
    <t>Batch Volume (barrels)</t>
  </si>
  <si>
    <t>Batch Volume (hectoliters)</t>
  </si>
  <si>
    <t>Batch Volume (gallons)</t>
  </si>
  <si>
    <t>Total Mash Water Vol (L)</t>
  </si>
  <si>
    <t>Total Mash Water Vol (BBL)</t>
  </si>
  <si>
    <t>Total Mash Water Vol (HL)</t>
  </si>
  <si>
    <t>Total Sparge Water Vol (L)</t>
  </si>
  <si>
    <t>Total Sparge Water Vol (BBL)</t>
  </si>
  <si>
    <t>Total Sparge Water Vol (HL)</t>
  </si>
  <si>
    <t>Mash Dilution Vol (L)</t>
  </si>
  <si>
    <t>Mash Dilution Vol (BBL)</t>
  </si>
  <si>
    <t>Mash Dilution Vol (HL)</t>
  </si>
  <si>
    <t>Sparge Dilution Vol (L)</t>
  </si>
  <si>
    <t>Sparge Dilution Vol (BBL)</t>
  </si>
  <si>
    <t>Sparge Dilution Vol (HL)</t>
  </si>
  <si>
    <t>Mash Water Volume (Barrels)---&gt;</t>
  </si>
  <si>
    <t>(tsp)</t>
  </si>
  <si>
    <t>(kg)</t>
  </si>
  <si>
    <t>CRS</t>
  </si>
  <si>
    <t>so4</t>
  </si>
  <si>
    <t>cl</t>
  </si>
  <si>
    <t>mM/L</t>
  </si>
  <si>
    <t>mg</t>
  </si>
  <si>
    <t>meq/mM</t>
  </si>
  <si>
    <t>hco3</t>
  </si>
  <si>
    <r>
      <t xml:space="preserve">The overall pH of the pre-boil wort can also alter the flavor perception of the beer.  The pre-boil wort pH is a product of the mash pH and sparging water pH.  </t>
    </r>
    <r>
      <rPr>
        <b/>
        <sz val="10"/>
        <rFont val="Arial"/>
        <family val="2"/>
      </rPr>
      <t>Lower pre-boil wort pH can produce a sharper and tarter flavor perception.  Lower pre-boil wort pH can also reduce hop and bittering expression in the finished beer.  Higher pre-boil wort pH can produce a rounder and fuller flavor perception.   In the mash, higher pH helps to extract flavor and color from roast malts, but recognize that excessive mash pH (&gt;5.8) may lead to excessive tannin and silicate extraction.</t>
    </r>
  </si>
  <si>
    <t>How to Use Bru'n Water</t>
  </si>
  <si>
    <r>
      <t xml:space="preserve">Some municipal water supplies get their water from several sources and the ionic content of the water may vary over time.  That may require additional testing or analysis to ascertain.  Contact the water utility to find out the water source variability.  Water test kits may be used to provide the brewer with a quick assessment of the primary water quality parameters and are discussed below.  </t>
    </r>
    <r>
      <rPr>
        <b/>
        <sz val="10"/>
        <rFont val="Arial"/>
        <family val="2"/>
      </rPr>
      <t>Water test kits are recommended if the source and/or quality of the water supply varies.</t>
    </r>
  </si>
  <si>
    <r>
      <t xml:space="preserve">Metallic taste can be discerned in water by most people when the </t>
    </r>
    <r>
      <rPr>
        <b/>
        <sz val="10"/>
        <rFont val="Arial"/>
        <family val="2"/>
      </rPr>
      <t>iron concentration exceeds 0.3 ppm</t>
    </r>
    <r>
      <rPr>
        <sz val="10"/>
        <rFont val="Arial"/>
        <family val="2"/>
      </rPr>
      <t xml:space="preserve"> or when </t>
    </r>
    <r>
      <rPr>
        <b/>
        <sz val="10"/>
        <rFont val="Arial"/>
        <family val="2"/>
      </rPr>
      <t>manganese</t>
    </r>
    <r>
      <rPr>
        <sz val="10"/>
        <rFont val="Arial"/>
        <family val="2"/>
      </rPr>
      <t xml:space="preserve"> </t>
    </r>
    <r>
      <rPr>
        <b/>
        <sz val="10"/>
        <rFont val="Arial"/>
        <family val="2"/>
      </rPr>
      <t>concentration exceeds 0.1 ppm</t>
    </r>
    <r>
      <rPr>
        <sz val="10"/>
        <rFont val="Arial"/>
        <family val="2"/>
      </rPr>
      <t xml:space="preserve">. When metallic tastes are detected in beer or water, testing for these ions is recommended.  Special water treatment may be required if these ions exceed the taste thresholds indicated above.   </t>
    </r>
  </si>
  <si>
    <t xml:space="preserve">Liquid acid additions should also be measured accurately.  An inexpensive measurement option for typical homebrew sized batches is to obtain and use a graduated medicine dropper from a drug store.  A craftbrewer could consider obtaining a graduated cylinder or pipette for larger acid additions.   </t>
  </si>
  <si>
    <t>Special Considerations for Extract Brewers:</t>
  </si>
  <si>
    <r>
      <t xml:space="preserve">           </t>
    </r>
    <r>
      <rPr>
        <b/>
        <sz val="10"/>
        <rFont val="Arial"/>
        <family val="2"/>
      </rPr>
      <t>WARNING!</t>
    </r>
    <r>
      <rPr>
        <sz val="10"/>
        <rFont val="Arial"/>
        <family val="2"/>
      </rPr>
      <t xml:space="preserve">  Acids can seriously injure persons.  All acid usage should be made with great care and proper storage, dosing, and protective equipment must be used.  Hydrochloric and Sulfuric Acids produce fumes that will attack eyes, skin, membranes, etc.</t>
    </r>
  </si>
  <si>
    <r>
      <t xml:space="preserve">If the water report gives either Total Hardness, Temporary Hardness, or Permanent Hardness results, compare the reported values from the water report to the values calculated on the </t>
    </r>
    <r>
      <rPr>
        <b/>
        <sz val="10"/>
        <rFont val="Arial"/>
        <family val="2"/>
      </rPr>
      <t>Water Report Input</t>
    </r>
    <r>
      <rPr>
        <sz val="10"/>
        <rFont val="Arial"/>
        <family val="2"/>
      </rPr>
      <t xml:space="preserve"> sheet.  If Total Hardness is incorrect, adjust either the calcium or magnesium content to better match the reported value.  Magnesium is typically at lower concentration than calcium, so preferentially adjusting the calcium concentration is recommended.  </t>
    </r>
  </si>
  <si>
    <t>If the sheet does not show comments or red corner marks, select the REVIEW tab in the Excel program menu and click the SHOW ALL COMMENTS button twice.</t>
  </si>
  <si>
    <t>Total Volume = Tap Volume + Dilution Volume</t>
  </si>
  <si>
    <r>
      <t xml:space="preserve">If the water report includes Total Alkalinity or Temporary Hardness but does not report the Bicarbonate or Carbonate concentrations, a calculator is included on the </t>
    </r>
    <r>
      <rPr>
        <b/>
        <sz val="10"/>
        <rFont val="Arial"/>
        <family val="2"/>
      </rPr>
      <t>Water Report Input</t>
    </r>
    <r>
      <rPr>
        <sz val="10"/>
        <rFont val="Arial"/>
        <family val="2"/>
      </rPr>
      <t xml:space="preserve"> sheet to estimate those concentrations.  Water pH does influence the relative amount of these ions, so the water pH must be entered.  If the water report does not provide the pH, </t>
    </r>
    <r>
      <rPr>
        <b/>
        <sz val="10"/>
        <rFont val="Arial"/>
        <family val="2"/>
      </rPr>
      <t>use a typical pH of 8.0</t>
    </r>
    <r>
      <rPr>
        <sz val="10"/>
        <rFont val="Arial"/>
        <family val="2"/>
      </rPr>
      <t xml:space="preserve"> for the calculation.</t>
    </r>
  </si>
  <si>
    <r>
      <rPr>
        <b/>
        <sz val="10"/>
        <rFont val="Arial"/>
        <family val="2"/>
      </rPr>
      <t>Water to Grist Ratio</t>
    </r>
    <r>
      <rPr>
        <sz val="10"/>
        <rFont val="Arial"/>
        <family val="2"/>
      </rPr>
      <t xml:space="preserve"> is an indication of how thick the mash is.  A thick grist may have a water to grist ratio of around 1 quarts per pound of grain while a thin grist may be up to 2 quarts per pound (2 to 4 L/kg).   The typical range is 1.25 to 1.5 quarts per pound (2.5 to 3 L/kg) although thinner grists may have advantages.  Since the water used for mashing typically contains alkalinity, a thinner grist will have more milliequivalents (mEq) of alkalinity than a thick grist.  More alkalinity consumes more of the grain acidity and the mash pH will likely be higher with a thin mash than a thick mash.  Therefore, it may be necessary to further reduce the water alkalinity to provide appropriate mash pH when the mash is thinned.  </t>
    </r>
    <r>
      <rPr>
        <b/>
        <sz val="10"/>
        <rFont val="Arial"/>
        <family val="2"/>
      </rPr>
      <t>Adjusting the Water to Grist Ratio can be used to adjust the mash pH.</t>
    </r>
  </si>
  <si>
    <t>Reported Total Alkalinity or Temporary Hardness (as CaCO3) (mg/L or ppm)</t>
  </si>
  <si>
    <t>Burton (boiled)</t>
  </si>
  <si>
    <t>Program Volume Setting</t>
  </si>
  <si>
    <t>Total Batch Volume</t>
  </si>
  <si>
    <r>
      <t xml:space="preserve">The </t>
    </r>
    <r>
      <rPr>
        <b/>
        <sz val="10"/>
        <rFont val="Arial"/>
        <family val="2"/>
      </rPr>
      <t>Water Report Input</t>
    </r>
    <r>
      <rPr>
        <sz val="10"/>
        <rFont val="Arial"/>
        <family val="2"/>
      </rPr>
      <t xml:space="preserve"> sheet calculates and displays the Alkalinity of the existing water.   That Alkalinity value is transferred to the </t>
    </r>
    <r>
      <rPr>
        <b/>
        <sz val="10"/>
        <rFont val="Arial"/>
        <family val="2"/>
      </rPr>
      <t>Sparge Acidification</t>
    </r>
    <r>
      <rPr>
        <sz val="10"/>
        <rFont val="Arial"/>
        <family val="2"/>
      </rPr>
      <t xml:space="preserve"> sheet.  Enter the Starting Water pH in the </t>
    </r>
    <r>
      <rPr>
        <b/>
        <sz val="10"/>
        <rFont val="Arial"/>
        <family val="2"/>
      </rPr>
      <t>Sparge Acidification</t>
    </r>
    <r>
      <rPr>
        <sz val="10"/>
        <rFont val="Arial"/>
        <family val="2"/>
      </rPr>
      <t xml:space="preserve"> sheet.  The Starting Water pH may be provided in the laboratory report. </t>
    </r>
    <r>
      <rPr>
        <sz val="10"/>
        <rFont val="Arial"/>
        <family val="2"/>
      </rPr>
      <t xml:space="preserve"> </t>
    </r>
    <r>
      <rPr>
        <b/>
        <sz val="10"/>
        <rFont val="Arial"/>
        <family val="2"/>
      </rPr>
      <t/>
    </r>
  </si>
  <si>
    <r>
      <t xml:space="preserve">            After entering the Water Report information, water adjustment can be properly estimated for the Existing Water.  The </t>
    </r>
    <r>
      <rPr>
        <b/>
        <sz val="10"/>
        <rFont val="Arial"/>
        <family val="2"/>
      </rPr>
      <t>Existing Water Profile</t>
    </r>
    <r>
      <rPr>
        <sz val="10"/>
        <rFont val="Arial"/>
        <family val="2"/>
      </rPr>
      <t xml:space="preserve"> is automatically entered into the </t>
    </r>
    <r>
      <rPr>
        <b/>
        <sz val="10"/>
        <rFont val="Arial"/>
        <family val="2"/>
      </rPr>
      <t>Water Adjustment</t>
    </r>
    <r>
      <rPr>
        <sz val="10"/>
        <rFont val="Arial"/>
        <family val="2"/>
      </rPr>
      <t xml:space="preserve"> sheet from the </t>
    </r>
    <r>
      <rPr>
        <b/>
        <sz val="10"/>
        <rFont val="Arial"/>
        <family val="2"/>
      </rPr>
      <t>Water Report Input</t>
    </r>
    <r>
      <rPr>
        <sz val="10"/>
        <rFont val="Arial"/>
        <family val="2"/>
      </rPr>
      <t xml:space="preserve"> sheet.  If the </t>
    </r>
    <r>
      <rPr>
        <b/>
        <sz val="10"/>
        <rFont val="Arial"/>
        <family val="2"/>
      </rPr>
      <t>Existing Water Profile</t>
    </r>
    <r>
      <rPr>
        <sz val="10"/>
        <rFont val="Arial"/>
        <family val="2"/>
      </rPr>
      <t xml:space="preserve"> is not shown or is not correct on the </t>
    </r>
    <r>
      <rPr>
        <b/>
        <sz val="10"/>
        <rFont val="Arial"/>
        <family val="2"/>
      </rPr>
      <t>Water Adjustment</t>
    </r>
    <r>
      <rPr>
        <sz val="10"/>
        <rFont val="Arial"/>
        <family val="2"/>
      </rPr>
      <t xml:space="preserve"> sheet, correct the entries on the </t>
    </r>
    <r>
      <rPr>
        <b/>
        <sz val="10"/>
        <rFont val="Arial"/>
        <family val="2"/>
      </rPr>
      <t>Water Report Input</t>
    </r>
    <r>
      <rPr>
        <sz val="10"/>
        <rFont val="Arial"/>
        <family val="2"/>
      </rPr>
      <t xml:space="preserve"> sheet.</t>
    </r>
  </si>
  <si>
    <r>
      <t>Alkalinity is adjusted by increasing or decreasing the bicarbonate (HCO</t>
    </r>
    <r>
      <rPr>
        <vertAlign val="subscript"/>
        <sz val="10"/>
        <rFont val="Arial"/>
        <family val="2"/>
      </rPr>
      <t>3</t>
    </r>
    <r>
      <rPr>
        <vertAlign val="superscript"/>
        <sz val="10"/>
        <rFont val="Arial"/>
        <family val="2"/>
      </rPr>
      <t>-</t>
    </r>
    <r>
      <rPr>
        <sz val="10"/>
        <rFont val="Arial"/>
        <family val="2"/>
      </rPr>
      <t>) or hydroxyl (OH</t>
    </r>
    <r>
      <rPr>
        <vertAlign val="superscript"/>
        <sz val="10"/>
        <rFont val="Arial"/>
        <family val="2"/>
      </rPr>
      <t>-</t>
    </r>
    <r>
      <rPr>
        <sz val="10"/>
        <rFont val="Arial"/>
        <family val="2"/>
      </rPr>
      <t>) concentration.  Add chalk, baking soda, or pickling lime (aka: slaked lime) to increase alkalinity.  Add acid or dilute with distilled or RO water to reduce alkalinity.</t>
    </r>
  </si>
  <si>
    <r>
      <t xml:space="preserve">The bicarbonate contributions shown for Baking Soda, Chalk, and Pickling Lime in the </t>
    </r>
    <r>
      <rPr>
        <b/>
        <sz val="10"/>
        <rFont val="Arial"/>
        <family val="2"/>
      </rPr>
      <t>Water Additions</t>
    </r>
    <r>
      <rPr>
        <sz val="10"/>
        <rFont val="Arial"/>
        <family val="2"/>
      </rPr>
      <t xml:space="preserve"> area represent their equivalent bicarbonate alkalinity contributions.  Baking Soda and Pickling Lime will easily dissolve in water or the mash.  Since Chalk has limited solubility in water or in the mash, special measures will be required to dissolve the Chalk and produce its expected bicarbonate and alkalinity contribution.  Adding Chalk powder directly to the mash has been proven to be ineffective in adding alkalinity to the mash.</t>
    </r>
  </si>
  <si>
    <r>
      <t xml:space="preserve">Add Minerals in the </t>
    </r>
    <r>
      <rPr>
        <b/>
        <sz val="10"/>
        <rFont val="Arial"/>
        <family val="2"/>
      </rPr>
      <t>Water Additions</t>
    </r>
    <r>
      <rPr>
        <sz val="10"/>
        <rFont val="Arial"/>
        <family val="2"/>
      </rPr>
      <t xml:space="preserve"> section of the </t>
    </r>
    <r>
      <rPr>
        <b/>
        <sz val="10"/>
        <rFont val="Arial"/>
        <family val="2"/>
      </rPr>
      <t>Water Adjustment</t>
    </r>
    <r>
      <rPr>
        <sz val="10"/>
        <rFont val="Arial"/>
        <family val="2"/>
      </rPr>
      <t xml:space="preserve"> sheet to increase the appropriate ion concentrations.  The </t>
    </r>
    <r>
      <rPr>
        <b/>
        <sz val="10"/>
        <color indexed="51"/>
        <rFont val="Arial"/>
        <family val="2"/>
      </rPr>
      <t>YELL</t>
    </r>
    <r>
      <rPr>
        <b/>
        <sz val="10"/>
        <color indexed="51"/>
        <rFont val="Arial"/>
        <family val="2"/>
      </rPr>
      <t>O</t>
    </r>
    <r>
      <rPr>
        <b/>
        <sz val="10"/>
        <color indexed="51"/>
        <rFont val="Arial"/>
        <family val="2"/>
      </rPr>
      <t>W</t>
    </r>
    <r>
      <rPr>
        <sz val="10"/>
        <rFont val="Arial"/>
        <family val="2"/>
      </rPr>
      <t xml:space="preserve"> cells in the Mineral Table show which ions each mineral will increase.  For instance, adding Gypsum will add Calcium and Sulfate.  Review the </t>
    </r>
    <r>
      <rPr>
        <b/>
        <sz val="10"/>
        <rFont val="Arial"/>
        <family val="2"/>
      </rPr>
      <t>Target Water Adjustment</t>
    </r>
    <r>
      <rPr>
        <sz val="10"/>
        <rFont val="Arial"/>
        <family val="2"/>
      </rPr>
      <t xml:space="preserve"> and </t>
    </r>
    <r>
      <rPr>
        <b/>
        <sz val="10"/>
        <rFont val="Arial"/>
        <family val="2"/>
      </rPr>
      <t>Actual Water Adjustment</t>
    </r>
    <r>
      <rPr>
        <sz val="10"/>
        <rFont val="Arial"/>
        <family val="2"/>
      </rPr>
      <t xml:space="preserve"> cells for each ion.  If cells in the Target Water Adjustment row are </t>
    </r>
    <r>
      <rPr>
        <b/>
        <sz val="10"/>
        <color indexed="10"/>
        <rFont val="Arial"/>
        <family val="2"/>
      </rPr>
      <t>RED</t>
    </r>
    <r>
      <rPr>
        <sz val="10"/>
        <rFont val="Arial"/>
        <family val="2"/>
      </rPr>
      <t xml:space="preserve">, see the Dilution instructions below.  </t>
    </r>
  </si>
  <si>
    <r>
      <rPr>
        <b/>
        <sz val="10"/>
        <rFont val="Arial"/>
        <family val="2"/>
      </rPr>
      <t>Set the units</t>
    </r>
    <r>
      <rPr>
        <sz val="10"/>
        <rFont val="Arial"/>
        <family val="2"/>
      </rPr>
      <t xml:space="preserve"> desired for the brewing calculations at the top of the </t>
    </r>
    <r>
      <rPr>
        <b/>
        <sz val="10"/>
        <rFont val="Arial"/>
        <family val="2"/>
      </rPr>
      <t>Water Report Input</t>
    </r>
    <r>
      <rPr>
        <sz val="10"/>
        <rFont val="Arial"/>
        <family val="2"/>
      </rPr>
      <t xml:space="preserve"> sheet.  Homebrewers may select either </t>
    </r>
    <r>
      <rPr>
        <b/>
        <sz val="10"/>
        <rFont val="Arial"/>
        <family val="2"/>
      </rPr>
      <t>Gallons</t>
    </r>
    <r>
      <rPr>
        <sz val="10"/>
        <rFont val="Arial"/>
        <family val="2"/>
      </rPr>
      <t xml:space="preserve"> or</t>
    </r>
    <r>
      <rPr>
        <b/>
        <sz val="10"/>
        <rFont val="Arial"/>
        <family val="2"/>
      </rPr>
      <t xml:space="preserve"> Liters</t>
    </r>
    <r>
      <rPr>
        <sz val="10"/>
        <rFont val="Arial"/>
        <family val="2"/>
      </rPr>
      <t xml:space="preserve">.  Craftbrewers may find either </t>
    </r>
    <r>
      <rPr>
        <b/>
        <sz val="10"/>
        <rFont val="Arial"/>
        <family val="2"/>
      </rPr>
      <t>Barrels</t>
    </r>
    <r>
      <rPr>
        <sz val="10"/>
        <rFont val="Arial"/>
        <family val="2"/>
      </rPr>
      <t xml:space="preserve"> or </t>
    </r>
    <r>
      <rPr>
        <b/>
        <sz val="10"/>
        <rFont val="Arial"/>
        <family val="2"/>
      </rPr>
      <t xml:space="preserve">Hectoliters </t>
    </r>
    <r>
      <rPr>
        <sz val="10"/>
        <rFont val="Arial"/>
        <family val="2"/>
      </rPr>
      <t xml:space="preserve">more useful.  The units for grain amounts switch to pounds when the water volume is set to either gallons or Barrels and to kilograms when the water volume is set to liters or hectoliters. </t>
    </r>
  </si>
  <si>
    <r>
      <t xml:space="preserve">Some historical water profiles that are suitable for Decarbonation by Boiling are provided in the water choices with their estimated post-boiling ionic content (for example: </t>
    </r>
    <r>
      <rPr>
        <b/>
        <sz val="10"/>
        <rFont val="Arial"/>
        <family val="2"/>
      </rPr>
      <t>(Munich boiled)</t>
    </r>
    <r>
      <rPr>
        <sz val="10"/>
        <rFont val="Arial"/>
        <family val="2"/>
      </rPr>
      <t xml:space="preserve">).  These profiles may be useful for </t>
    </r>
    <r>
      <rPr>
        <b/>
        <sz val="10"/>
        <rFont val="Arial"/>
        <family val="2"/>
      </rPr>
      <t>brewing lighter-colored beers</t>
    </r>
    <r>
      <rPr>
        <sz val="10"/>
        <rFont val="Arial"/>
        <family val="2"/>
      </rPr>
      <t xml:space="preserve"> that may have been brewed in those cities.  Boiling a water with high Temporary Hardness will reduce the bicarbonate content to between 60 and 80 ppm.  For the purpose of these estimates, the upper end of the bicarbonate range (80 ppm)(indicating less effective decarbonation) was used to estimate the post-boiling water that those historic brewers might have been able to attain.  The decarbonation process causes calcium carbonate to precipitate from the water, reducing the concentrations of both calcium and bicarbonate.  The concentrations of the other water profile ions remain as in the original water profiles.  See the </t>
    </r>
    <r>
      <rPr>
        <b/>
        <sz val="10"/>
        <rFont val="Arial"/>
        <family val="2"/>
      </rPr>
      <t>Water Knowledge</t>
    </r>
    <r>
      <rPr>
        <sz val="10"/>
        <rFont val="Arial"/>
        <family val="2"/>
      </rPr>
      <t xml:space="preserve"> sheet for more information on Decarbonation. </t>
    </r>
  </si>
  <si>
    <t>verify that all the grist is entered</t>
  </si>
  <si>
    <t xml:space="preserve">Enter grain names above to help </t>
  </si>
  <si>
    <t>PseudoBohPils</t>
  </si>
  <si>
    <t>Comments</t>
  </si>
  <si>
    <t>from UK Env Agency records</t>
  </si>
  <si>
    <t>resulting profile after boiling and decanting</t>
  </si>
  <si>
    <t>from an American megabrewery</t>
  </si>
  <si>
    <t>from north and west Dublin</t>
  </si>
  <si>
    <t>from Edinburgh water company</t>
  </si>
  <si>
    <t>compilation of London water company reports</t>
  </si>
  <si>
    <t>from Munich water company</t>
  </si>
  <si>
    <t>from Pilsen water company</t>
  </si>
  <si>
    <t>from Vienna water company</t>
  </si>
  <si>
    <t>from Dusseldorf water company</t>
  </si>
  <si>
    <t>for hoppy beers</t>
  </si>
  <si>
    <t>for malty English ales</t>
  </si>
  <si>
    <t>Malt Color Setting</t>
  </si>
  <si>
    <t>Lovibond</t>
  </si>
  <si>
    <t>EBC</t>
  </si>
  <si>
    <t>Color (EBC)</t>
  </si>
  <si>
    <t>Est. Beer Color (EBC)</t>
  </si>
  <si>
    <t>Mash pH Guidance</t>
  </si>
  <si>
    <r>
      <t xml:space="preserve">Enter each grain used in the mash grist in the spreadsheet.  The grain names can be entered to help identify each component, but the grain names are not necessary.  Enter the </t>
    </r>
    <r>
      <rPr>
        <b/>
        <sz val="10"/>
        <rFont val="Arial"/>
        <family val="2"/>
      </rPr>
      <t>Mass</t>
    </r>
    <r>
      <rPr>
        <sz val="10"/>
        <rFont val="Arial"/>
        <family val="2"/>
      </rPr>
      <t xml:space="preserve"> of each grain in either pounds and ounces or kilograms and grams.  Enter the </t>
    </r>
    <r>
      <rPr>
        <b/>
        <sz val="10"/>
        <rFont val="Arial"/>
        <family val="2"/>
      </rPr>
      <t>Color</t>
    </r>
    <r>
      <rPr>
        <sz val="10"/>
        <rFont val="Arial"/>
        <family val="2"/>
      </rPr>
      <t xml:space="preserve"> of each grain in the proper units.  </t>
    </r>
  </si>
  <si>
    <t>Cation/Anion Difference (meq/L)</t>
  </si>
  <si>
    <r>
      <t xml:space="preserve">Water testing reports can contain testing and reporting errors.  Therefore, a review of the ionic balance between the positively-charged ions (Cations) and negatively-charged ions (Anions) is helpful.  The </t>
    </r>
    <r>
      <rPr>
        <b/>
        <sz val="10"/>
        <rFont val="Arial"/>
        <family val="2"/>
      </rPr>
      <t>Water Report Input</t>
    </r>
    <r>
      <rPr>
        <sz val="10"/>
        <rFont val="Arial"/>
        <family val="2"/>
      </rPr>
      <t xml:space="preserve"> sheet includes an Ion Balance calculator to provide you with a rapid evaluation of the water report results.  The cation and anion totals should be nearly equivalent under most conditions.  There can be some difference in the totals if there were errors in the testing or reporting or if there are other ions in the water that were not reported.  A difference in ion totals of 0.1 milliequivalent per liter (meq/L) indicates a very well balanced result.  The difference in ion totals should generally be 0.5 meq/l or less to indicate acceptable testing or reporting results.  </t>
    </r>
  </si>
  <si>
    <r>
      <t xml:space="preserve">Mineral and acid additions must be measured and added accurately to achieve good brewing results.  Homebrewers should obtain a </t>
    </r>
    <r>
      <rPr>
        <b/>
        <sz val="10"/>
        <rFont val="Arial"/>
        <family val="2"/>
      </rPr>
      <t>scale with an accuracy of at least 0.1 grams</t>
    </r>
    <r>
      <rPr>
        <sz val="10"/>
        <rFont val="Arial"/>
        <family val="2"/>
      </rPr>
      <t xml:space="preserve"> to more accurately measure mineral and acid additions for typical homebrew sized batches.  Craftbrewers brewing larger batches should have a scale with an accuracy of at least 1 gram to accurately measure their additions.  Scales may be mechanical or digital, but their resolution should meet the recommendations above.  An internet search for "</t>
    </r>
    <r>
      <rPr>
        <b/>
        <i/>
        <sz val="10"/>
        <rFont val="Arial"/>
        <family val="2"/>
      </rPr>
      <t>digital scale 0.1"</t>
    </r>
    <r>
      <rPr>
        <sz val="10"/>
        <rFont val="Arial"/>
        <family val="2"/>
      </rPr>
      <t xml:space="preserve"> should reveal there are scales available for under $30US.  A scale that can weigh at least 500 grams is recommended so the scale can be used for multiple uses including weighing hop additions.  Higher scale capacity typically increases the cost of the scale, but the durability may also be improved.       </t>
    </r>
  </si>
  <si>
    <t>Mash pH Result</t>
  </si>
  <si>
    <t>US Hardness (grains/gallon)</t>
  </si>
  <si>
    <t>English (Clark) Hardness (grains/Imp gal)</t>
  </si>
  <si>
    <t>Jever (boiled)</t>
  </si>
  <si>
    <t>from Jever, Germany water company, after boiling</t>
  </si>
  <si>
    <t>Wicklow Mtn</t>
  </si>
  <si>
    <t xml:space="preserve">All Water Profiles are User customizable </t>
  </si>
  <si>
    <r>
      <t xml:space="preserve">                                   Very Dry or Bitter:      SO</t>
    </r>
    <r>
      <rPr>
        <vertAlign val="subscript"/>
        <sz val="10"/>
        <rFont val="Arial"/>
        <family val="2"/>
      </rPr>
      <t>4</t>
    </r>
    <r>
      <rPr>
        <sz val="10"/>
        <rFont val="Arial"/>
        <family val="2"/>
      </rPr>
      <t>/Cl is greater than 2.0
                                   Dry or Bitter:              SO</t>
    </r>
    <r>
      <rPr>
        <vertAlign val="subscript"/>
        <sz val="10"/>
        <rFont val="Arial"/>
        <family val="2"/>
      </rPr>
      <t>4</t>
    </r>
    <r>
      <rPr>
        <sz val="10"/>
        <rFont val="Arial"/>
        <family val="2"/>
      </rPr>
      <t>/Cl is between 2.0 and 1.3
                                   Balanced:                  SO</t>
    </r>
    <r>
      <rPr>
        <vertAlign val="subscript"/>
        <sz val="10"/>
        <rFont val="Arial"/>
        <family val="2"/>
      </rPr>
      <t>4</t>
    </r>
    <r>
      <rPr>
        <sz val="10"/>
        <rFont val="Arial"/>
        <family val="2"/>
      </rPr>
      <t>/Cl is between 1.3 and 0.75
                                   Full or Malty:              SO</t>
    </r>
    <r>
      <rPr>
        <vertAlign val="subscript"/>
        <sz val="10"/>
        <rFont val="Arial"/>
        <family val="2"/>
      </rPr>
      <t>4</t>
    </r>
    <r>
      <rPr>
        <sz val="10"/>
        <rFont val="Arial"/>
        <family val="2"/>
      </rPr>
      <t>/Cl is between 0.75 and 0.5
                                   Very Full or Malty:      SO</t>
    </r>
    <r>
      <rPr>
        <vertAlign val="subscript"/>
        <sz val="10"/>
        <rFont val="Arial"/>
        <family val="2"/>
      </rPr>
      <t>4</t>
    </r>
    <r>
      <rPr>
        <sz val="10"/>
        <rFont val="Arial"/>
        <family val="2"/>
      </rPr>
      <t>/Cl is less than 0.5</t>
    </r>
  </si>
  <si>
    <t>Acids</t>
  </si>
  <si>
    <t>Acetic Acid Required =</t>
  </si>
  <si>
    <t>Hydrochloric Acid Required =</t>
  </si>
  <si>
    <t>Lactic Acid Required =</t>
  </si>
  <si>
    <t>Phosphoric Acid Required =</t>
  </si>
  <si>
    <t>Sulfuric Acid Required =</t>
  </si>
  <si>
    <t>Citric Acid Required =</t>
  </si>
  <si>
    <t>Tartaric Acid Required =</t>
  </si>
  <si>
    <t>Malic Acid Required =</t>
  </si>
  <si>
    <t>CRS Acid Required =</t>
  </si>
  <si>
    <t>mM required2=</t>
  </si>
  <si>
    <t>Acid Required2=</t>
  </si>
  <si>
    <t>Acetate Added to Water =</t>
  </si>
  <si>
    <t>Lactate Added to Water =</t>
  </si>
  <si>
    <t>Phosphate Added to Water =</t>
  </si>
  <si>
    <t>Citrate Added to Water =</t>
  </si>
  <si>
    <t>Tartarate Added to Water =</t>
  </si>
  <si>
    <t>Malate Added to Water =</t>
  </si>
  <si>
    <t>First Acid Type =</t>
  </si>
  <si>
    <t>First Acid Strength =</t>
  </si>
  <si>
    <t>Second Acid Type =</t>
  </si>
  <si>
    <t>Second Acid Strength =</t>
  </si>
  <si>
    <t xml:space="preserve">Grain Bill Input </t>
  </si>
  <si>
    <r>
      <t>Gypsum (CaSO</t>
    </r>
    <r>
      <rPr>
        <b/>
        <vertAlign val="subscript"/>
        <sz val="9"/>
        <rFont val="Arial"/>
        <family val="2"/>
      </rPr>
      <t>4</t>
    </r>
    <r>
      <rPr>
        <b/>
        <sz val="9"/>
        <rFont val="Arial"/>
        <family val="2"/>
      </rPr>
      <t xml:space="preserve"> x 2H</t>
    </r>
    <r>
      <rPr>
        <b/>
        <vertAlign val="subscript"/>
        <sz val="9"/>
        <rFont val="Arial"/>
        <family val="2"/>
      </rPr>
      <t>2</t>
    </r>
    <r>
      <rPr>
        <b/>
        <sz val="9"/>
        <rFont val="Arial"/>
        <family val="2"/>
      </rPr>
      <t xml:space="preserve">O) </t>
    </r>
  </si>
  <si>
    <r>
      <t>Epsom Salt (MgSO</t>
    </r>
    <r>
      <rPr>
        <b/>
        <vertAlign val="subscript"/>
        <sz val="9"/>
        <rFont val="Arial"/>
        <family val="2"/>
      </rPr>
      <t xml:space="preserve">4 </t>
    </r>
    <r>
      <rPr>
        <b/>
        <sz val="9"/>
        <rFont val="Arial"/>
        <family val="2"/>
      </rPr>
      <t>x 7H</t>
    </r>
    <r>
      <rPr>
        <b/>
        <vertAlign val="subscript"/>
        <sz val="9"/>
        <rFont val="Arial"/>
        <family val="2"/>
      </rPr>
      <t>2</t>
    </r>
    <r>
      <rPr>
        <b/>
        <sz val="9"/>
        <rFont val="Arial"/>
        <family val="2"/>
      </rPr>
      <t>O)</t>
    </r>
  </si>
  <si>
    <r>
      <t xml:space="preserve">7. A listing of the recommended </t>
    </r>
    <r>
      <rPr>
        <b/>
        <sz val="10"/>
        <rFont val="Arial"/>
        <family val="2"/>
      </rPr>
      <t>Water Adjustments</t>
    </r>
    <r>
      <rPr>
        <sz val="10"/>
        <rFont val="Arial"/>
        <family val="2"/>
      </rPr>
      <t xml:space="preserve"> for mashing and sparging water is presented on the </t>
    </r>
    <r>
      <rPr>
        <b/>
        <sz val="10"/>
        <rFont val="Arial"/>
        <family val="2"/>
      </rPr>
      <t>Adjustment Summary</t>
    </r>
    <r>
      <rPr>
        <sz val="10"/>
        <rFont val="Arial"/>
        <family val="2"/>
      </rPr>
      <t xml:space="preserve"> sheet.  That sheet is configured for printing and presents all the water adjustment information needed for that brew.  </t>
    </r>
  </si>
  <si>
    <t xml:space="preserve">Minerals </t>
  </si>
  <si>
    <t>Mash</t>
  </si>
  <si>
    <r>
      <t>Some water reports may display ion concentrations in standard units such as (as CaCO</t>
    </r>
    <r>
      <rPr>
        <vertAlign val="subscript"/>
        <sz val="10"/>
        <rFont val="Arial"/>
        <family val="2"/>
      </rPr>
      <t>3</t>
    </r>
    <r>
      <rPr>
        <sz val="10"/>
        <rFont val="Arial"/>
        <family val="2"/>
      </rPr>
      <t>, as NO</t>
    </r>
    <r>
      <rPr>
        <vertAlign val="subscript"/>
        <sz val="10"/>
        <rFont val="Arial"/>
        <family val="2"/>
      </rPr>
      <t>3</t>
    </r>
    <r>
      <rPr>
        <sz val="10"/>
        <rFont val="Arial"/>
        <family val="2"/>
      </rPr>
      <t>-N, or as SO</t>
    </r>
    <r>
      <rPr>
        <vertAlign val="subscript"/>
        <sz val="10"/>
        <rFont val="Arial"/>
        <family val="2"/>
      </rPr>
      <t>4</t>
    </r>
    <r>
      <rPr>
        <sz val="10"/>
        <rFont val="Arial"/>
        <family val="2"/>
      </rPr>
      <t xml:space="preserve">-S).  In these cases, the reported concentration must be adjusted to the true ion concentration in ppm or mg/L.  Conversion factors for these ions are presented below.   </t>
    </r>
    <r>
      <rPr>
        <b/>
        <sz val="10"/>
        <rFont val="Arial"/>
        <family val="2"/>
      </rPr>
      <t>A Calculator with these Unit Conversions is provided at the bottom of the Water Report Input sheet.</t>
    </r>
  </si>
  <si>
    <r>
      <t xml:space="preserve">If the </t>
    </r>
    <r>
      <rPr>
        <b/>
        <sz val="10"/>
        <rFont val="Arial"/>
        <family val="2"/>
      </rPr>
      <t>Desired Water Profile</t>
    </r>
    <r>
      <rPr>
        <sz val="10"/>
        <rFont val="Arial"/>
        <family val="2"/>
      </rPr>
      <t xml:space="preserve"> has a significantly lower than desired bicarbonate (HCO</t>
    </r>
    <r>
      <rPr>
        <vertAlign val="subscript"/>
        <sz val="10"/>
        <rFont val="Arial"/>
        <family val="2"/>
      </rPr>
      <t>3</t>
    </r>
    <r>
      <rPr>
        <sz val="10"/>
        <rFont val="Arial"/>
        <family val="2"/>
      </rPr>
      <t>) concentration (Alkalinity), then a preferred method to add bicarbonate to mashing water is to add Pickling Lime or Baking Soda since Chalk is difficult to dissolve in water or the mash.  When alkalinity needs to be added to the mash water, Pickling Lime or Baking Soda will provide more certain results.  Care should be exercised when adding Baking Soda since the Sodium concentration should typically not exceed 100 ppm for good brewing results.  ONLY MASHING WATER SHOULD HAVE ITS BICARBONATE CONCENTRATION INCREASED.  SPARGING WATER NEVER NEEDS ADDED ALKALINITY.</t>
    </r>
  </si>
  <si>
    <r>
      <t xml:space="preserve">This pH value is NOT VALID until the grain information is properly entered for the beer on the </t>
    </r>
    <r>
      <rPr>
        <b/>
        <sz val="7"/>
        <rFont val="Arial"/>
        <family val="2"/>
      </rPr>
      <t>Grain Bill Input</t>
    </r>
    <r>
      <rPr>
        <sz val="7"/>
        <rFont val="Arial"/>
        <family val="2"/>
      </rPr>
      <t xml:space="preserve"> sheet.  </t>
    </r>
  </si>
  <si>
    <t>Overall Finished Water Profile</t>
  </si>
  <si>
    <t>Mashing Water Profile</t>
  </si>
  <si>
    <t>Target Finished Water Adjustment (ppm)</t>
  </si>
  <si>
    <t>Actual Finished Water Adjustment (ppm)</t>
  </si>
  <si>
    <r>
      <t>Add CaSO</t>
    </r>
    <r>
      <rPr>
        <vertAlign val="subscript"/>
        <sz val="8"/>
        <rFont val="Arial"/>
        <family val="2"/>
      </rPr>
      <t>4</t>
    </r>
    <r>
      <rPr>
        <sz val="8"/>
        <rFont val="Arial"/>
        <family val="2"/>
      </rPr>
      <t xml:space="preserve"> &amp; CaCl</t>
    </r>
    <r>
      <rPr>
        <vertAlign val="subscript"/>
        <sz val="8"/>
        <rFont val="Arial"/>
        <family val="2"/>
      </rPr>
      <t>2</t>
    </r>
    <r>
      <rPr>
        <sz val="8"/>
        <rFont val="Arial"/>
        <family val="2"/>
      </rPr>
      <t xml:space="preserve"> to replace Chalk &amp; Lime in Sparging Water?</t>
    </r>
  </si>
  <si>
    <t>na</t>
  </si>
  <si>
    <t>ca</t>
  </si>
  <si>
    <r>
      <t>Finished SO</t>
    </r>
    <r>
      <rPr>
        <vertAlign val="subscript"/>
        <sz val="8"/>
        <rFont val="Arial"/>
        <family val="2"/>
      </rPr>
      <t>4</t>
    </r>
    <r>
      <rPr>
        <sz val="8"/>
        <rFont val="Arial"/>
        <family val="2"/>
      </rPr>
      <t>/Cl Ratio</t>
    </r>
  </si>
  <si>
    <t>(ppm) Acetate Content</t>
  </si>
  <si>
    <t>(ppm) Lactate Content</t>
  </si>
  <si>
    <t>(ppm) Phosphate Content</t>
  </si>
  <si>
    <t>(ppm) Citrate Content</t>
  </si>
  <si>
    <t>(ppm) Tartarate Content</t>
  </si>
  <si>
    <t>(ppm) Malate Content</t>
  </si>
  <si>
    <t>Sulfate Added to Water =</t>
  </si>
  <si>
    <t>Chloride Added to Water =</t>
  </si>
  <si>
    <t>Yes</t>
  </si>
  <si>
    <t>No</t>
  </si>
  <si>
    <t>Acid Malt Strength Setting</t>
  </si>
  <si>
    <t>Anhydrous</t>
  </si>
  <si>
    <t>Dihydrate</t>
  </si>
  <si>
    <t>Liquid</t>
  </si>
  <si>
    <r>
      <t>What form of CaCl</t>
    </r>
    <r>
      <rPr>
        <vertAlign val="subscript"/>
        <sz val="8"/>
        <rFont val="Arial"/>
        <family val="2"/>
      </rPr>
      <t>2</t>
    </r>
    <r>
      <rPr>
        <sz val="8"/>
        <rFont val="Arial"/>
        <family val="2"/>
      </rPr>
      <t>?</t>
    </r>
  </si>
  <si>
    <r>
      <t>Liquid CaCl</t>
    </r>
    <r>
      <rPr>
        <vertAlign val="subscript"/>
        <sz val="8"/>
        <rFont val="Arial"/>
        <family val="2"/>
      </rPr>
      <t>2</t>
    </r>
    <r>
      <rPr>
        <sz val="8"/>
        <rFont val="Arial"/>
        <family val="2"/>
      </rPr>
      <t xml:space="preserve"> strength? (% w/w)</t>
    </r>
  </si>
  <si>
    <r>
      <t>Calcium Chloride (CaCl</t>
    </r>
    <r>
      <rPr>
        <vertAlign val="subscript"/>
        <sz val="8"/>
        <rFont val="Arial"/>
        <family val="2"/>
      </rPr>
      <t>2</t>
    </r>
    <r>
      <rPr>
        <sz val="8"/>
        <rFont val="Arial"/>
        <family val="2"/>
      </rPr>
      <t xml:space="preserve">) </t>
    </r>
  </si>
  <si>
    <t>Add Sparging Water mineral additions to the Mash?</t>
  </si>
  <si>
    <t>Solution S.G.</t>
  </si>
  <si>
    <t>(% w/w)</t>
  </si>
  <si>
    <r>
      <t>Liquid CaCl</t>
    </r>
    <r>
      <rPr>
        <vertAlign val="subscript"/>
        <sz val="8"/>
        <rFont val="Arial"/>
        <family val="2"/>
      </rPr>
      <t>2</t>
    </r>
    <r>
      <rPr>
        <sz val="8"/>
        <rFont val="Arial"/>
        <family val="2"/>
      </rPr>
      <t xml:space="preserve"> Solution Strength (% w/w) --&gt;</t>
    </r>
  </si>
  <si>
    <r>
      <t>Gypsum (CaSO</t>
    </r>
    <r>
      <rPr>
        <vertAlign val="subscript"/>
        <sz val="8"/>
        <rFont val="Arial"/>
        <family val="2"/>
      </rPr>
      <t>4</t>
    </r>
    <r>
      <rPr>
        <sz val="8"/>
        <rFont val="Arial"/>
        <family val="2"/>
      </rPr>
      <t xml:space="preserve"> x 2H</t>
    </r>
    <r>
      <rPr>
        <vertAlign val="subscript"/>
        <sz val="8"/>
        <rFont val="Arial"/>
        <family val="2"/>
      </rPr>
      <t>2</t>
    </r>
    <r>
      <rPr>
        <sz val="8"/>
        <rFont val="Arial"/>
        <family val="2"/>
      </rPr>
      <t xml:space="preserve">O) </t>
    </r>
  </si>
  <si>
    <r>
      <t>Epsom Salt (MgSO</t>
    </r>
    <r>
      <rPr>
        <vertAlign val="subscript"/>
        <sz val="8"/>
        <rFont val="Arial"/>
        <family val="2"/>
      </rPr>
      <t xml:space="preserve">4 </t>
    </r>
    <r>
      <rPr>
        <sz val="8"/>
        <rFont val="Arial"/>
        <family val="2"/>
      </rPr>
      <t>x 7H</t>
    </r>
    <r>
      <rPr>
        <vertAlign val="subscript"/>
        <sz val="8"/>
        <rFont val="Arial"/>
        <family val="2"/>
      </rPr>
      <t>2</t>
    </r>
    <r>
      <rPr>
        <sz val="8"/>
        <rFont val="Arial"/>
        <family val="2"/>
      </rPr>
      <t>O)</t>
    </r>
  </si>
  <si>
    <r>
      <t>Magnesium Chloride (MgCl</t>
    </r>
    <r>
      <rPr>
        <vertAlign val="subscript"/>
        <sz val="8"/>
        <rFont val="Arial"/>
        <family val="2"/>
      </rPr>
      <t>2</t>
    </r>
    <r>
      <rPr>
        <sz val="8"/>
        <rFont val="Arial"/>
        <family val="2"/>
      </rPr>
      <t xml:space="preserve"> x 6H</t>
    </r>
    <r>
      <rPr>
        <vertAlign val="subscript"/>
        <sz val="8"/>
        <rFont val="Arial"/>
        <family val="2"/>
      </rPr>
      <t>2</t>
    </r>
    <r>
      <rPr>
        <sz val="8"/>
        <rFont val="Arial"/>
        <family val="2"/>
      </rPr>
      <t>O)</t>
    </r>
  </si>
  <si>
    <t>NA</t>
  </si>
  <si>
    <t>keeps Ca, Cl, and SO4 low</t>
  </si>
  <si>
    <t>Sparging Water Acidification Calculator</t>
  </si>
  <si>
    <t>percent</t>
  </si>
  <si>
    <r>
      <t xml:space="preserve">Input 1.0 for the volume to have the program automatically calculate acid additions for the sparging volume input on the </t>
    </r>
    <r>
      <rPr>
        <b/>
        <sz val="8"/>
        <rFont val="Arial"/>
        <family val="2"/>
      </rPr>
      <t>Water Adjustment</t>
    </r>
    <r>
      <rPr>
        <sz val="8"/>
        <rFont val="Arial"/>
        <family val="2"/>
      </rPr>
      <t xml:space="preserve"> sheet.</t>
    </r>
  </si>
  <si>
    <t>Acid type used in sparging water</t>
  </si>
  <si>
    <r>
      <t xml:space="preserve">If water report provides only </t>
    </r>
    <r>
      <rPr>
        <b/>
        <sz val="10"/>
        <rFont val="Arial"/>
        <family val="2"/>
      </rPr>
      <t>Total Alkalinity</t>
    </r>
    <r>
      <rPr>
        <sz val="10"/>
        <rFont val="Arial"/>
        <family val="2"/>
      </rPr>
      <t xml:space="preserve"> or </t>
    </r>
    <r>
      <rPr>
        <b/>
        <sz val="10"/>
        <rFont val="Arial"/>
        <family val="2"/>
      </rPr>
      <t>Temporary Hardnes</t>
    </r>
    <r>
      <rPr>
        <sz val="10"/>
        <rFont val="Arial"/>
        <family val="2"/>
      </rPr>
      <t>s (as CaCO</t>
    </r>
    <r>
      <rPr>
        <vertAlign val="subscript"/>
        <sz val="10"/>
        <rFont val="Arial"/>
        <family val="2"/>
      </rPr>
      <t>3</t>
    </r>
    <r>
      <rPr>
        <sz val="10"/>
        <rFont val="Arial"/>
        <family val="2"/>
      </rPr>
      <t>), use the calculator below to estimate the Bicarbonate and Carbonate concentrations.  Insert the estimated Bicarbonate and Carbonate results in the table above.</t>
    </r>
  </si>
  <si>
    <t>Addition</t>
  </si>
  <si>
    <r>
      <t xml:space="preserve">  </t>
    </r>
    <r>
      <rPr>
        <b/>
        <sz val="8"/>
        <rFont val="Arial"/>
        <family val="2"/>
      </rPr>
      <t xml:space="preserve">Sparge </t>
    </r>
    <r>
      <rPr>
        <sz val="8"/>
        <rFont val="Arial"/>
        <family val="2"/>
      </rPr>
      <t xml:space="preserve">Acid Strength parameters are entered on the </t>
    </r>
    <r>
      <rPr>
        <b/>
        <sz val="8"/>
        <rFont val="Arial"/>
        <family val="2"/>
      </rPr>
      <t>Sparge Acidication</t>
    </r>
    <r>
      <rPr>
        <sz val="8"/>
        <rFont val="Arial"/>
        <family val="2"/>
      </rPr>
      <t xml:space="preserve"> sheet</t>
    </r>
  </si>
  <si>
    <r>
      <rPr>
        <b/>
        <sz val="8"/>
        <rFont val="Arial"/>
        <family val="2"/>
      </rPr>
      <t xml:space="preserve">  Mash </t>
    </r>
    <r>
      <rPr>
        <sz val="8"/>
        <rFont val="Arial"/>
        <family val="2"/>
      </rPr>
      <t xml:space="preserve">Acid Strength parameters are entered </t>
    </r>
    <r>
      <rPr>
        <b/>
        <sz val="8"/>
        <rFont val="Arial"/>
        <family val="2"/>
      </rPr>
      <t>below</t>
    </r>
  </si>
  <si>
    <t>(ppm) Acetate added to water</t>
  </si>
  <si>
    <t>(ppm) Lactate added to water</t>
  </si>
  <si>
    <t>(ppm) Phosphate added to water</t>
  </si>
  <si>
    <t>(ppm) Citrate added to water</t>
  </si>
  <si>
    <t>(ppm) Tartarate added to water</t>
  </si>
  <si>
    <t>(ppm) Malate added to water</t>
  </si>
  <si>
    <t>Acid Anion Concentrations</t>
  </si>
  <si>
    <t xml:space="preserve">Diluted Water Alkalinity  </t>
  </si>
  <si>
    <t xml:space="preserve">Diluted Water pH  </t>
  </si>
  <si>
    <t xml:space="preserve">Second Acid Percentage  </t>
  </si>
  <si>
    <t>Profiles (ppm)</t>
  </si>
  <si>
    <t>Finished</t>
  </si>
  <si>
    <t>Exist</t>
  </si>
  <si>
    <t>Mineral Additions (gm)</t>
  </si>
  <si>
    <t xml:space="preserve">Mag Chloride    </t>
  </si>
  <si>
    <t xml:space="preserve">Mash Acid Additions      </t>
  </si>
  <si>
    <t>Sparge Acid Addtions</t>
  </si>
  <si>
    <t>Epsom Salt</t>
  </si>
  <si>
    <t>Canning Salt</t>
  </si>
  <si>
    <t>Calcium Chloride</t>
  </si>
  <si>
    <t>Baking Soda</t>
  </si>
  <si>
    <r>
      <t xml:space="preserve">The </t>
    </r>
    <r>
      <rPr>
        <b/>
        <sz val="10"/>
        <rFont val="Arial"/>
        <family val="2"/>
      </rPr>
      <t>Sparge Acidification</t>
    </r>
    <r>
      <rPr>
        <sz val="10"/>
        <rFont val="Arial"/>
        <family val="2"/>
      </rPr>
      <t xml:space="preserve"> sheet also reports the concentrations of the anions from those acids. Chloride and sulfate concentrations from hydrochloric, sulfuric, and CRS acids are reported. In addition, the various anions from lactic, acetic, phosphoric, tartaric, malic, and citric acids are also reported. While concentrations of the ions are reported on the </t>
    </r>
    <r>
      <rPr>
        <b/>
        <sz val="10"/>
        <rFont val="Arial"/>
        <family val="2"/>
      </rPr>
      <t>Sparge Acidification</t>
    </r>
    <r>
      <rPr>
        <sz val="10"/>
        <rFont val="Arial"/>
        <family val="2"/>
      </rPr>
      <t xml:space="preserve"> and </t>
    </r>
    <r>
      <rPr>
        <b/>
        <sz val="10"/>
        <rFont val="Arial"/>
        <family val="2"/>
      </rPr>
      <t xml:space="preserve">Water Adjustment </t>
    </r>
    <r>
      <rPr>
        <sz val="10"/>
        <rFont val="Arial"/>
        <family val="2"/>
      </rPr>
      <t xml:space="preserve">sheets, refer to the </t>
    </r>
    <r>
      <rPr>
        <b/>
        <sz val="10"/>
        <rFont val="Arial"/>
        <family val="2"/>
      </rPr>
      <t>Adjustment Summary</t>
    </r>
    <r>
      <rPr>
        <sz val="10"/>
        <rFont val="Arial"/>
        <family val="2"/>
      </rPr>
      <t xml:space="preserve"> sheet to find what the averaged concentrations of those anions are in the kettle and if they may be over their taste threshold. Anions over their taste threshold may affect beer flavor.  </t>
    </r>
  </si>
  <si>
    <r>
      <t xml:space="preserve">Proceed to the </t>
    </r>
    <r>
      <rPr>
        <b/>
        <sz val="10"/>
        <rFont val="Arial"/>
        <family val="2"/>
      </rPr>
      <t>Grain Bill Input</t>
    </r>
    <r>
      <rPr>
        <sz val="10"/>
        <rFont val="Arial"/>
        <family val="2"/>
      </rPr>
      <t xml:space="preserve"> sheet to enter the grains in the mash.  </t>
    </r>
  </si>
  <si>
    <t>Grain Bill Input</t>
  </si>
  <si>
    <r>
      <t xml:space="preserve">If more acidity is needed, a recommended alternative is to decrease the water alkalinity by reducing the water's bicarbonate content by adding more acid or reducing any Baking Soda, Chalk, or Pickling Lime additions.  If less acidity is needed, decrease any acid addition or increase the bicarbonate content to the mash water to consume more grain acidity.  If dilution was used to produce the </t>
    </r>
    <r>
      <rPr>
        <b/>
        <sz val="10"/>
        <rFont val="Arial"/>
        <family val="2"/>
      </rPr>
      <t>Adjusted Water</t>
    </r>
    <r>
      <rPr>
        <sz val="10"/>
        <rFont val="Arial"/>
        <family val="2"/>
      </rPr>
      <t>, reducing the dilution percentage can typically increase the bicarbonate content since most drinking water has alkalinity.</t>
    </r>
  </si>
  <si>
    <r>
      <t xml:space="preserve">Proceed to the </t>
    </r>
    <r>
      <rPr>
        <b/>
        <sz val="10"/>
        <rFont val="Arial"/>
        <family val="2"/>
      </rPr>
      <t xml:space="preserve">Water Adjustment </t>
    </r>
    <r>
      <rPr>
        <sz val="10"/>
        <rFont val="Arial"/>
        <family val="2"/>
      </rPr>
      <t xml:space="preserve">sheet to calculate the mineral and acid additions to create the desired mashing water profile.  </t>
    </r>
  </si>
  <si>
    <r>
      <rPr>
        <b/>
        <sz val="10"/>
        <rFont val="Arial"/>
        <family val="2"/>
      </rPr>
      <t>Safety</t>
    </r>
    <r>
      <rPr>
        <sz val="10"/>
        <rFont val="Arial"/>
        <family val="2"/>
      </rPr>
      <t>: Care must be exercised when working with acid since they can cause serious physical harm.  Measure carefully and use instruments such as graduated pipettes or droppers to transfer acid.</t>
    </r>
  </si>
  <si>
    <r>
      <t xml:space="preserve">After selecting the </t>
    </r>
    <r>
      <rPr>
        <b/>
        <sz val="10"/>
        <rFont val="Arial"/>
        <family val="2"/>
      </rPr>
      <t>Desired Water Profile</t>
    </r>
    <r>
      <rPr>
        <sz val="10"/>
        <rFont val="Arial"/>
        <family val="2"/>
      </rPr>
      <t xml:space="preserve">, the sheet enables the evaluation of adding or reserving various minerals to the mashing water.  The </t>
    </r>
    <r>
      <rPr>
        <b/>
        <sz val="10"/>
        <rFont val="Arial"/>
        <family val="2"/>
      </rPr>
      <t>Water Adjustment</t>
    </r>
    <r>
      <rPr>
        <sz val="10"/>
        <rFont val="Arial"/>
        <family val="2"/>
      </rPr>
      <t xml:space="preserve"> sheet is used to calculate the mineral adjustments for either mashing or sparging water.  Minerals for mashing water should generally be added to the mash water prior to mashing, although the program enables the assessment of a variety of mineral addition schemes described below.  </t>
    </r>
  </si>
  <si>
    <r>
      <t>Click next to the "</t>
    </r>
    <r>
      <rPr>
        <b/>
        <sz val="10"/>
        <rFont val="Arial"/>
        <family val="2"/>
      </rPr>
      <t>What form of CaCl</t>
    </r>
    <r>
      <rPr>
        <b/>
        <vertAlign val="subscript"/>
        <sz val="10"/>
        <rFont val="Arial"/>
        <family val="2"/>
      </rPr>
      <t>2</t>
    </r>
    <r>
      <rPr>
        <b/>
        <sz val="10"/>
        <rFont val="Arial"/>
        <family val="2"/>
      </rPr>
      <t>?</t>
    </r>
    <r>
      <rPr>
        <sz val="10"/>
        <rFont val="Arial"/>
        <family val="2"/>
      </rPr>
      <t xml:space="preserve">" cell and a selection box with </t>
    </r>
    <r>
      <rPr>
        <b/>
        <sz val="10"/>
        <rFont val="Arial"/>
        <family val="2"/>
      </rPr>
      <t>Anhydrous, Dihydrate,</t>
    </r>
    <r>
      <rPr>
        <sz val="10"/>
        <rFont val="Arial"/>
        <family val="2"/>
      </rPr>
      <t xml:space="preserve"> and </t>
    </r>
    <r>
      <rPr>
        <b/>
        <sz val="10"/>
        <rFont val="Arial"/>
        <family val="2"/>
      </rPr>
      <t>Liquid</t>
    </r>
    <r>
      <rPr>
        <sz val="10"/>
        <rFont val="Arial"/>
        <family val="2"/>
      </rPr>
      <t xml:space="preserve"> are displayed. Select the appropriate form being used in the brewery.</t>
    </r>
  </si>
  <si>
    <t xml:space="preserve">Type of Dilution Water Used  </t>
  </si>
  <si>
    <t>Set the Target Water pH =</t>
  </si>
  <si>
    <t>Water Volume to Treat=</t>
  </si>
  <si>
    <r>
      <t xml:space="preserve">The following acids: </t>
    </r>
    <r>
      <rPr>
        <b/>
        <sz val="10"/>
        <rFont val="Arial"/>
        <family val="2"/>
      </rPr>
      <t>Citric</t>
    </r>
    <r>
      <rPr>
        <sz val="10"/>
        <rFont val="Arial"/>
        <family val="2"/>
      </rPr>
      <t xml:space="preserve">, </t>
    </r>
    <r>
      <rPr>
        <b/>
        <sz val="10"/>
        <rFont val="Arial"/>
        <family val="2"/>
      </rPr>
      <t>Malic</t>
    </r>
    <r>
      <rPr>
        <sz val="10"/>
        <rFont val="Arial"/>
        <family val="2"/>
      </rPr>
      <t xml:space="preserve">, and </t>
    </r>
    <r>
      <rPr>
        <b/>
        <sz val="10"/>
        <rFont val="Arial"/>
        <family val="2"/>
      </rPr>
      <t>Tartaric</t>
    </r>
    <r>
      <rPr>
        <sz val="10"/>
        <rFont val="Arial"/>
        <family val="2"/>
      </rPr>
      <t xml:space="preserve"> can only be used in their </t>
    </r>
    <r>
      <rPr>
        <b/>
        <sz val="10"/>
        <rFont val="Arial"/>
        <family val="2"/>
      </rPr>
      <t>SOLID</t>
    </r>
    <r>
      <rPr>
        <sz val="10"/>
        <rFont val="Arial"/>
        <family val="2"/>
      </rPr>
      <t xml:space="preserve"> form in </t>
    </r>
    <r>
      <rPr>
        <b/>
        <sz val="10"/>
        <rFont val="Arial"/>
        <family val="2"/>
      </rPr>
      <t>Bru'n Water</t>
    </r>
    <r>
      <rPr>
        <sz val="10"/>
        <rFont val="Arial"/>
        <family val="2"/>
      </rPr>
      <t xml:space="preserve">. The program is set up to employ those acids </t>
    </r>
    <r>
      <rPr>
        <b/>
        <sz val="10"/>
        <rFont val="Arial"/>
        <family val="2"/>
      </rPr>
      <t>only in their solid form</t>
    </r>
    <r>
      <rPr>
        <sz val="10"/>
        <rFont val="Arial"/>
        <family val="2"/>
      </rPr>
      <t xml:space="preserve">. Do not attempt to calculate additions for those acids in </t>
    </r>
    <r>
      <rPr>
        <b/>
        <sz val="10"/>
        <rFont val="Arial"/>
        <family val="2"/>
      </rPr>
      <t>Bru'n Water</t>
    </r>
    <r>
      <rPr>
        <sz val="10"/>
        <rFont val="Arial"/>
        <family val="2"/>
      </rPr>
      <t xml:space="preserve"> if those acids are in their liquid forms since the result will not be accurate.</t>
    </r>
  </si>
  <si>
    <r>
      <t xml:space="preserve">Users that value the use and development of </t>
    </r>
    <r>
      <rPr>
        <b/>
        <sz val="10"/>
        <rFont val="Arial"/>
        <family val="2"/>
      </rPr>
      <t>Bru'n Water</t>
    </r>
    <r>
      <rPr>
        <sz val="10"/>
        <rFont val="Arial"/>
        <family val="2"/>
      </rPr>
      <t xml:space="preserve"> can support the continued development and show support by donating through their PayPal account.    To assist the team in continuing the improvement of this program and to indicate your approval and support, donations through </t>
    </r>
    <r>
      <rPr>
        <b/>
        <sz val="10"/>
        <rFont val="Arial"/>
        <family val="2"/>
      </rPr>
      <t>PayPal</t>
    </r>
    <r>
      <rPr>
        <sz val="10"/>
        <rFont val="Arial"/>
        <family val="2"/>
      </rPr>
      <t xml:space="preserve"> are welcome.  A few dollars are truly welcome from those that find this program and water knowledge useful.  Use the email address </t>
    </r>
    <r>
      <rPr>
        <b/>
        <sz val="10"/>
        <rFont val="Arial"/>
        <family val="2"/>
      </rPr>
      <t>mabrungard@hotmail.com</t>
    </r>
    <r>
      <rPr>
        <sz val="10"/>
        <rFont val="Arial"/>
        <family val="2"/>
      </rPr>
      <t xml:space="preserve"> to forward comments about the program and to direct donations to the development team.  For those with a </t>
    </r>
    <r>
      <rPr>
        <b/>
        <sz val="10"/>
        <rFont val="Arial"/>
        <family val="2"/>
      </rPr>
      <t>PayPal</t>
    </r>
    <r>
      <rPr>
        <sz val="10"/>
        <rFont val="Arial"/>
        <family val="2"/>
      </rPr>
      <t xml:space="preserve"> account, a link to the</t>
    </r>
    <r>
      <rPr>
        <b/>
        <sz val="10"/>
        <rFont val="Arial"/>
        <family val="2"/>
      </rPr>
      <t xml:space="preserve"> Bru'n Water website </t>
    </r>
    <r>
      <rPr>
        <sz val="10"/>
        <rFont val="Arial"/>
        <family val="2"/>
      </rPr>
      <t xml:space="preserve">is provided below.  The website has links to Paypal to support Bru'n Water.  Use the SEND MONEY tool and select the PERSONAL tab to direct a GIFT amount to the developers.                                                                                                                        </t>
    </r>
  </si>
  <si>
    <r>
      <rPr>
        <b/>
        <sz val="10"/>
        <rFont val="Arial"/>
        <family val="2"/>
      </rPr>
      <t>Aquarium test kits</t>
    </r>
    <r>
      <rPr>
        <sz val="10"/>
        <rFont val="Arial"/>
        <family val="2"/>
      </rPr>
      <t xml:space="preserve"> can provide reasonably accurate assessment of the primary brewing water quality parameters of calcium content (or hardness) and alkalinity (which is also termed 'carbonate hardness').  Aquarium test kits from manufacturers such as Aquarium Pharaceuticals, Elos, Salifert, and Red Sea are available and can determine the concentration of these components.   If better accuracy is desired, water testing kits from suppliers such as Hach and Lamotte are suggested.  The hardness and alkalinity concentrations are the primary components that influence mash pH.  The calcium kits may have names such as Calcium Test or General Hardness.  The Alkalinity kits may have names such as Alkalinity/pH Test or Carbonate Hardness.   Search the web for '</t>
    </r>
    <r>
      <rPr>
        <b/>
        <sz val="10"/>
        <rFont val="Arial"/>
        <family val="2"/>
      </rPr>
      <t>Aquarium Test Kits</t>
    </r>
    <r>
      <rPr>
        <sz val="10"/>
        <rFont val="Arial"/>
        <family val="2"/>
      </rPr>
      <t>'.    Colorimetric kits that you add drops to are recommended since they are generally more sensitive than kits that use Test Strips.</t>
    </r>
  </si>
  <si>
    <r>
      <t xml:space="preserve">            Water testing results are entered on the </t>
    </r>
    <r>
      <rPr>
        <b/>
        <sz val="10"/>
        <rFont val="Arial"/>
        <family val="2"/>
      </rPr>
      <t>Water Report Input</t>
    </r>
    <r>
      <rPr>
        <sz val="10"/>
        <rFont val="Arial"/>
        <family val="2"/>
      </rPr>
      <t xml:space="preserve"> sheet.  The concentrations for each ion are entered in the </t>
    </r>
    <r>
      <rPr>
        <b/>
        <sz val="10"/>
        <color indexed="12"/>
        <rFont val="Arial"/>
        <family val="2"/>
      </rPr>
      <t>blue cells</t>
    </r>
    <r>
      <rPr>
        <sz val="10"/>
        <rFont val="Arial"/>
        <family val="2"/>
      </rPr>
      <t xml:space="preserve">.  </t>
    </r>
    <r>
      <rPr>
        <b/>
        <sz val="10"/>
        <color indexed="51"/>
        <rFont val="Arial"/>
        <family val="2"/>
      </rPr>
      <t>Yellow cells</t>
    </r>
    <r>
      <rPr>
        <sz val="10"/>
        <rFont val="Arial"/>
        <family val="2"/>
      </rPr>
      <t xml:space="preserve"> display calculated results.  Water reports typically present the ion concentrations as milligrams per liter (mg/L) or parts per million (ppm).  These units are roughly equivalent and are used interchangeably.  This program includes helpful pop-up informational comments in some cells.  Cells with a</t>
    </r>
    <r>
      <rPr>
        <b/>
        <sz val="10"/>
        <color indexed="10"/>
        <rFont val="Arial"/>
        <family val="2"/>
      </rPr>
      <t xml:space="preserve"> red mark</t>
    </r>
    <r>
      <rPr>
        <sz val="10"/>
        <rFont val="Arial"/>
        <family val="2"/>
      </rPr>
      <t xml:space="preserve"> in the upper right cell corner will display the comment when the mouse cursor is hovered over that cell.   </t>
    </r>
    <r>
      <rPr>
        <b/>
        <sz val="10"/>
        <rFont val="Arial"/>
        <family val="2"/>
      </rPr>
      <t>If the sheet does not show comments or red corner marks, select the REVIEW tab in the Excel program menu and click the SHOW ALL COMMENTS button twice.  This should coax the software to display the comments.</t>
    </r>
  </si>
  <si>
    <r>
      <t xml:space="preserve">A comprehensive instruction on brewing water knowledge is included in this program to assist the brewer in understanding brewing water chemistry.  Select the </t>
    </r>
    <r>
      <rPr>
        <b/>
        <sz val="10"/>
        <rFont val="Arial"/>
        <family val="2"/>
      </rPr>
      <t>Water Knowledge</t>
    </r>
    <r>
      <rPr>
        <sz val="10"/>
        <rFont val="Arial"/>
        <family val="2"/>
      </rPr>
      <t xml:space="preserve"> tab to view.  A link to the on-line version of the Water Knowledge is provided below.  The on-line version is more up to date and should be the preferred resource.</t>
    </r>
  </si>
  <si>
    <r>
      <t>This program steps the brewer through a set of spreadsheets to complete the water analysis and adjustment.  If a brewer's water source is relatively stable and its characteristics do not change, then it is likely that the brewer will only visit sheets 1 and 2 (</t>
    </r>
    <r>
      <rPr>
        <b/>
        <sz val="10"/>
        <rFont val="Arial"/>
        <family val="2"/>
      </rPr>
      <t>Water Report Input</t>
    </r>
    <r>
      <rPr>
        <sz val="10"/>
        <rFont val="Arial"/>
        <family val="2"/>
      </rPr>
      <t xml:space="preserve"> and </t>
    </r>
    <r>
      <rPr>
        <b/>
        <sz val="10"/>
        <rFont val="Arial"/>
        <family val="2"/>
      </rPr>
      <t>Sparge Acidification</t>
    </r>
    <r>
      <rPr>
        <sz val="10"/>
        <rFont val="Arial"/>
        <family val="2"/>
      </rPr>
      <t>) once.  Sheets 3 and 4 (</t>
    </r>
    <r>
      <rPr>
        <b/>
        <sz val="10"/>
        <rFont val="Arial"/>
        <family val="2"/>
      </rPr>
      <t xml:space="preserve">Grain Bill Input </t>
    </r>
    <r>
      <rPr>
        <sz val="10"/>
        <rFont val="Arial"/>
        <family val="2"/>
      </rPr>
      <t xml:space="preserve">and </t>
    </r>
    <r>
      <rPr>
        <b/>
        <sz val="10"/>
        <rFont val="Arial"/>
        <family val="2"/>
      </rPr>
      <t>Water Adjustment</t>
    </r>
    <r>
      <rPr>
        <sz val="10"/>
        <rFont val="Arial"/>
        <family val="2"/>
      </rPr>
      <t xml:space="preserve">) will be used for each new brewing session.  The brewer should work sequentially through sheets 1 through 4 to define and assess their brewing water chemistry.  If the mash acidification results indicate that the water adjustments will not produce a desirable result, the brewer may need to revisit the </t>
    </r>
    <r>
      <rPr>
        <b/>
        <sz val="10"/>
        <rFont val="Arial"/>
        <family val="2"/>
      </rPr>
      <t>Water Adjustment</t>
    </r>
    <r>
      <rPr>
        <sz val="10"/>
        <rFont val="Arial"/>
        <family val="2"/>
      </rPr>
      <t xml:space="preserve"> page (Sheet 4) and adjust the dilution, mineral, or acid additions to achieve their desired mash pH.  Be sure to input your water's Bicarbonate content on the </t>
    </r>
    <r>
      <rPr>
        <b/>
        <sz val="10"/>
        <rFont val="Arial"/>
        <family val="2"/>
      </rPr>
      <t xml:space="preserve">Water Report Input </t>
    </r>
    <r>
      <rPr>
        <sz val="10"/>
        <rFont val="Arial"/>
        <family val="2"/>
      </rPr>
      <t xml:space="preserve">sheet to get proper output on the </t>
    </r>
    <r>
      <rPr>
        <b/>
        <sz val="10"/>
        <rFont val="Arial"/>
        <family val="2"/>
      </rPr>
      <t xml:space="preserve">Grain Bill Input </t>
    </r>
    <r>
      <rPr>
        <sz val="10"/>
        <rFont val="Arial"/>
        <family val="2"/>
      </rPr>
      <t xml:space="preserve">and </t>
    </r>
    <r>
      <rPr>
        <b/>
        <sz val="10"/>
        <rFont val="Arial"/>
        <family val="2"/>
      </rPr>
      <t xml:space="preserve">Adjustment Summary </t>
    </r>
    <r>
      <rPr>
        <sz val="10"/>
        <rFont val="Arial"/>
        <family val="2"/>
      </rPr>
      <t xml:space="preserve">sheets. If the Sparging Water is diluted with RO or Distilled water, that information must be input on the </t>
    </r>
    <r>
      <rPr>
        <b/>
        <sz val="10"/>
        <rFont val="Arial"/>
        <family val="2"/>
      </rPr>
      <t>Sparge Acidification</t>
    </r>
    <r>
      <rPr>
        <sz val="10"/>
        <rFont val="Arial"/>
        <family val="2"/>
      </rPr>
      <t xml:space="preserve"> sheet.  </t>
    </r>
  </si>
  <si>
    <r>
      <t xml:space="preserve">5. Bru'n Water assesses the acidity of the brewer's grain bill to predict mash pH.  </t>
    </r>
    <r>
      <rPr>
        <b/>
        <sz val="10"/>
        <rFont val="Arial"/>
        <family val="2"/>
      </rPr>
      <t>Input the mashing grain bill</t>
    </r>
    <r>
      <rPr>
        <sz val="10"/>
        <rFont val="Arial"/>
        <family val="2"/>
      </rPr>
      <t xml:space="preserve"> on the </t>
    </r>
    <r>
      <rPr>
        <b/>
        <sz val="10"/>
        <rFont val="Arial"/>
        <family val="2"/>
      </rPr>
      <t>Grain Bill Input</t>
    </r>
    <r>
      <rPr>
        <sz val="10"/>
        <rFont val="Arial"/>
        <family val="2"/>
      </rPr>
      <t xml:space="preserve"> sheet.  </t>
    </r>
  </si>
  <si>
    <r>
      <t xml:space="preserve">If Reverse Osmosis (RO) or Distilled Water is the brewer's primary water source, then input on Sheet 1 can be skipped and the brewer can move directly to Sheets 2, 3, and 4.  Select either RO or Distilled from the </t>
    </r>
    <r>
      <rPr>
        <b/>
        <sz val="10"/>
        <rFont val="Arial"/>
        <family val="2"/>
      </rPr>
      <t>Dilution Water Profile</t>
    </r>
    <r>
      <rPr>
        <sz val="10"/>
        <rFont val="Arial"/>
        <family val="2"/>
      </rPr>
      <t xml:space="preserve"> selection and set the dilution percentage to 100 percent on both the </t>
    </r>
    <r>
      <rPr>
        <b/>
        <sz val="10"/>
        <rFont val="Arial"/>
        <family val="2"/>
      </rPr>
      <t>Sparge Acidification</t>
    </r>
    <r>
      <rPr>
        <sz val="10"/>
        <rFont val="Arial"/>
        <family val="2"/>
      </rPr>
      <t xml:space="preserve"> and </t>
    </r>
    <r>
      <rPr>
        <b/>
        <sz val="10"/>
        <rFont val="Arial"/>
        <family val="2"/>
      </rPr>
      <t>Water Adjustment</t>
    </r>
    <r>
      <rPr>
        <sz val="10"/>
        <rFont val="Arial"/>
        <family val="2"/>
      </rPr>
      <t xml:space="preserve"> sheets.  The water adjustments can then be properly entered to create the desired water profile.</t>
    </r>
  </si>
  <si>
    <t>When opening the program for the first time, the zoom on each of the sheets is set low (small) so that most users can see the full extent of the working area when they open the program.  Increase the zoom setting on each sheet so that each sheet is enlarged and visible on your monitor.  When the program is saved, your preferred zoom settings on each sheet will be saved.  If text in some cells does not appear correctly, increasing the zoom may improve the appearance.</t>
  </si>
  <si>
    <r>
      <t xml:space="preserve">The </t>
    </r>
    <r>
      <rPr>
        <b/>
        <sz val="10"/>
        <rFont val="Arial"/>
        <family val="2"/>
      </rPr>
      <t>minimum water information</t>
    </r>
    <r>
      <rPr>
        <sz val="10"/>
        <rFont val="Arial"/>
        <family val="2"/>
      </rPr>
      <t xml:space="preserve"> needed to properly use </t>
    </r>
    <r>
      <rPr>
        <b/>
        <sz val="10"/>
        <rFont val="Arial"/>
        <family val="2"/>
      </rPr>
      <t>Bru'n Water</t>
    </r>
    <r>
      <rPr>
        <sz val="10"/>
        <rFont val="Arial"/>
        <family val="2"/>
      </rPr>
      <t xml:space="preserve"> includes the following:  The most important data are the water's </t>
    </r>
    <r>
      <rPr>
        <b/>
        <sz val="10"/>
        <rFont val="Arial"/>
        <family val="2"/>
      </rPr>
      <t xml:space="preserve">Calcium, Magnesium, Sodium, Alkalinity or Bicarbonate, Sulfate, and Chloride </t>
    </r>
    <r>
      <rPr>
        <sz val="10"/>
        <rFont val="Arial"/>
        <family val="2"/>
      </rPr>
      <t xml:space="preserve">concentrations.  These are sometimes known as </t>
    </r>
    <r>
      <rPr>
        <b/>
        <sz val="10"/>
        <rFont val="Arial"/>
        <family val="2"/>
      </rPr>
      <t>Secondary Water Quality</t>
    </r>
    <r>
      <rPr>
        <sz val="10"/>
        <rFont val="Arial"/>
        <family val="2"/>
      </rPr>
      <t xml:space="preserve"> parameters or </t>
    </r>
    <r>
      <rPr>
        <b/>
        <sz val="10"/>
        <rFont val="Arial"/>
        <family val="2"/>
      </rPr>
      <t>Inorganic</t>
    </r>
    <r>
      <rPr>
        <sz val="10"/>
        <rFont val="Arial"/>
        <family val="2"/>
      </rPr>
      <t xml:space="preserve"> parameters.  If the water pH is not known, it can generally be estimated as 8.0 without much error.  If you obtain water from a municipal water supply, you may be able to obtain this information from the water company's </t>
    </r>
    <r>
      <rPr>
        <b/>
        <sz val="10"/>
        <rFont val="Arial"/>
        <family val="2"/>
      </rPr>
      <t>water quality testing report</t>
    </r>
    <r>
      <rPr>
        <sz val="10"/>
        <rFont val="Arial"/>
        <family val="2"/>
      </rPr>
      <t xml:space="preserve">.  If that information is not readily available or if the water is from a private source, you may need to have the water tested for those parameters.  A suite of tests such as the </t>
    </r>
    <r>
      <rPr>
        <b/>
        <sz val="10"/>
        <rFont val="Arial"/>
        <family val="2"/>
      </rPr>
      <t xml:space="preserve">Household Mineral Test </t>
    </r>
    <r>
      <rPr>
        <sz val="10"/>
        <rFont val="Arial"/>
        <family val="2"/>
      </rPr>
      <t xml:space="preserve">from Ward Labs (wardlab.com) is suitable. ( Sodium, Calcium, Magnesium, Potassium, Carbonate, Bicarbonate, Chloride, Sulfate, Nitrate, pH, Total Hardness, and Total Alkalinity).  Ward Labs is easily accessible to US brewers.  Brewers in other countries may find a suitable water quality testing laboratory locally.  UK brewers may find Murphy (murphyhomebrew.com) useful excepting that they do not report the water's sodium content.  If only the sodium content is missing from a report, it may be possible to assume that the sodium content is at a level that produces a balanced cation and anion total. Typically, only a small water sample 4 to 8 oz (100 to 200 ml) is required for the testing.  </t>
    </r>
  </si>
  <si>
    <r>
      <t xml:space="preserve">Aquarium test kits may report their results in terms of German degrees of Hardness, American Grains per Gallon, milliequivalents per liter, milligrams per liter, or parts per million.  Results must converted to milligrams per liter (mg/L) or parts per million (ppm) for use in </t>
    </r>
    <r>
      <rPr>
        <b/>
        <sz val="10"/>
        <rFont val="Arial"/>
        <family val="2"/>
      </rPr>
      <t>Bru'n Water</t>
    </r>
    <r>
      <rPr>
        <sz val="10"/>
        <rFont val="Arial"/>
        <family val="2"/>
      </rPr>
      <t xml:space="preserve">.  Note that ppm and mg/L are generally equivalent.  Conversion factors are provided below and some are included in the </t>
    </r>
    <r>
      <rPr>
        <b/>
        <sz val="10"/>
        <rFont val="Arial"/>
        <family val="2"/>
      </rPr>
      <t xml:space="preserve">Conversion Calculator </t>
    </r>
    <r>
      <rPr>
        <sz val="10"/>
        <rFont val="Arial"/>
        <family val="2"/>
      </rPr>
      <t xml:space="preserve">on the </t>
    </r>
    <r>
      <rPr>
        <b/>
        <sz val="10"/>
        <rFont val="Arial"/>
        <family val="2"/>
      </rPr>
      <t>Water Report Input</t>
    </r>
    <r>
      <rPr>
        <sz val="10"/>
        <rFont val="Arial"/>
        <family val="2"/>
      </rPr>
      <t xml:space="preserve"> sheet.  </t>
    </r>
  </si>
  <si>
    <r>
      <t xml:space="preserve">If the brewer's water report does not include information on minor ions such as potassium, fluoride, iron, nitrate, or nitrite, </t>
    </r>
    <r>
      <rPr>
        <b/>
        <sz val="10"/>
        <rFont val="Arial"/>
        <family val="2"/>
      </rPr>
      <t>enter Zero</t>
    </r>
    <r>
      <rPr>
        <sz val="10"/>
        <rFont val="Arial"/>
        <family val="2"/>
      </rPr>
      <t xml:space="preserve"> for those concentrations.  The concentration of these ions is typically low and should only produce a minor error in the cation/anion difference if they are entered as </t>
    </r>
    <r>
      <rPr>
        <b/>
        <sz val="10"/>
        <rFont val="Arial"/>
        <family val="2"/>
      </rPr>
      <t>Zero</t>
    </r>
    <r>
      <rPr>
        <sz val="10"/>
        <rFont val="Arial"/>
        <family val="2"/>
      </rPr>
      <t>.   In the case of Murphy's water reports which don't report sodium, input all the other reported ions (</t>
    </r>
    <r>
      <rPr>
        <b/>
        <sz val="10"/>
        <rFont val="Arial"/>
        <family val="2"/>
      </rPr>
      <t>be sure to convert the Alkalinity value to HCO</t>
    </r>
    <r>
      <rPr>
        <b/>
        <vertAlign val="subscript"/>
        <sz val="10"/>
        <rFont val="Arial"/>
        <family val="2"/>
      </rPr>
      <t>3</t>
    </r>
    <r>
      <rPr>
        <sz val="10"/>
        <rFont val="Arial"/>
        <family val="2"/>
      </rPr>
      <t xml:space="preserve">) into the </t>
    </r>
    <r>
      <rPr>
        <b/>
        <sz val="10"/>
        <rFont val="Arial"/>
        <family val="2"/>
      </rPr>
      <t xml:space="preserve">Water Report Input </t>
    </r>
    <r>
      <rPr>
        <sz val="10"/>
        <rFont val="Arial"/>
        <family val="2"/>
      </rPr>
      <t>area and input increasing sodium concentrations until the cation and anions are balanced.  That can serve as an estimate of the water's sodium content.</t>
    </r>
  </si>
  <si>
    <t xml:space="preserve">When the reported water testing results do not indicate balanced ion concentrations, there are things the brewer can check to evaluate what the potential errors are.  </t>
  </si>
  <si>
    <r>
      <t xml:space="preserve">If the calculated Alkalinity value does not agree with the Alkalinity presented in the Water Report, adjust the Bicarbonate content on the </t>
    </r>
    <r>
      <rPr>
        <b/>
        <sz val="10"/>
        <rFont val="Arial"/>
        <family val="2"/>
      </rPr>
      <t>Water Report Input</t>
    </r>
    <r>
      <rPr>
        <sz val="10"/>
        <rFont val="Arial"/>
        <family val="2"/>
      </rPr>
      <t xml:space="preserve"> sheet to better match the reported value.  If the calculated Permanent Hardness value does not generally agree with the reported Permanent Hardness, it may indicate that the reported or input chloride or sulfate content is incorrect. </t>
    </r>
  </si>
  <si>
    <r>
      <t xml:space="preserve">Potassium, iron, nitrate, nitrite, and fluoride are typically present in low concentration, so their values should be small (frequently less than 10 ppm).  Verify if they were reported in parts per billion (ppb) units if their concentration values are significantly greater than 10.  Use the conversion tool in </t>
    </r>
    <r>
      <rPr>
        <b/>
        <sz val="10"/>
        <rFont val="Arial"/>
        <family val="2"/>
      </rPr>
      <t>Bru'n Water</t>
    </r>
    <r>
      <rPr>
        <sz val="10"/>
        <rFont val="Arial"/>
        <family val="2"/>
      </rPr>
      <t xml:space="preserve"> to convert from ppb to ppm.  </t>
    </r>
  </si>
  <si>
    <t>If any of these corrections produce a better ion balance, then the brewer may elect to use these revised concentrations for their water profile instead of having another water test performed or asking for additional water testing information.</t>
  </si>
  <si>
    <r>
      <t xml:space="preserve">Hot water added to the mash (Infusions) to raise the temperature of the mash should be considered to be a portion of the brewer's </t>
    </r>
    <r>
      <rPr>
        <b/>
        <sz val="10"/>
        <rFont val="Arial"/>
        <family val="2"/>
      </rPr>
      <t xml:space="preserve">Sparging Water </t>
    </r>
    <r>
      <rPr>
        <sz val="10"/>
        <rFont val="Arial"/>
        <family val="2"/>
      </rPr>
      <t xml:space="preserve">volume.  Acidify and treat the Water Infusions as recommended for Sparging Water on the </t>
    </r>
    <r>
      <rPr>
        <b/>
        <sz val="10"/>
        <rFont val="Arial"/>
        <family val="2"/>
      </rPr>
      <t>Sparge Acidification</t>
    </r>
    <r>
      <rPr>
        <sz val="10"/>
        <rFont val="Arial"/>
        <family val="2"/>
      </rPr>
      <t xml:space="preserve"> sheet. </t>
    </r>
  </si>
  <si>
    <r>
      <t xml:space="preserve">With pH and alkalinity information on the </t>
    </r>
    <r>
      <rPr>
        <b/>
        <sz val="10"/>
        <rFont val="Arial"/>
        <family val="2"/>
      </rPr>
      <t>Existing Water</t>
    </r>
    <r>
      <rPr>
        <sz val="10"/>
        <rFont val="Arial"/>
        <family val="2"/>
      </rPr>
      <t xml:space="preserve"> entered in the </t>
    </r>
    <r>
      <rPr>
        <b/>
        <sz val="10"/>
        <rFont val="Arial"/>
        <family val="2"/>
      </rPr>
      <t xml:space="preserve">Water Report Input </t>
    </r>
    <r>
      <rPr>
        <sz val="10"/>
        <rFont val="Arial"/>
        <family val="2"/>
      </rPr>
      <t xml:space="preserve">sheet, the proper amount of acid can be calculated for that water without significant trial and error.   The </t>
    </r>
    <r>
      <rPr>
        <b/>
        <sz val="10"/>
        <rFont val="Arial"/>
        <family val="2"/>
      </rPr>
      <t>Sparge Acidification</t>
    </r>
    <r>
      <rPr>
        <sz val="10"/>
        <rFont val="Arial"/>
        <family val="2"/>
      </rPr>
      <t xml:space="preserve"> sheet is intended only for sparge water adjustments and should not be used for mashing water adjustment.  A separate mashing acidification (alkalinity adjustment) tool is provided at the bottom of the </t>
    </r>
    <r>
      <rPr>
        <b/>
        <sz val="10"/>
        <rFont val="Arial"/>
        <family val="2"/>
      </rPr>
      <t xml:space="preserve">Water Adjustment </t>
    </r>
    <r>
      <rPr>
        <sz val="10"/>
        <rFont val="Arial"/>
        <family val="2"/>
      </rPr>
      <t>sheet for mashing water adjustment.</t>
    </r>
  </si>
  <si>
    <r>
      <t xml:space="preserve">If the brewer will be diluting the existing tap water with distilled or RO water, a drop-down box with distilled or RO water quality is provided on the </t>
    </r>
    <r>
      <rPr>
        <b/>
        <sz val="10"/>
        <rFont val="Arial"/>
        <family val="2"/>
      </rPr>
      <t>Sparge Acidification</t>
    </r>
    <r>
      <rPr>
        <sz val="10"/>
        <rFont val="Arial"/>
        <family val="2"/>
      </rPr>
      <t xml:space="preserve"> sheet adjacent to the </t>
    </r>
    <r>
      <rPr>
        <b/>
        <sz val="10"/>
        <rFont val="Arial"/>
        <family val="2"/>
      </rPr>
      <t xml:space="preserve">Type of Dilution Water Used </t>
    </r>
    <r>
      <rPr>
        <sz val="10"/>
        <rFont val="Arial"/>
        <family val="2"/>
      </rPr>
      <t xml:space="preserve">cell.  The amount of dilution for sparging water can be different than the amount of dilution for mashing water.  Set the dilution percentage for sparging water on the </t>
    </r>
    <r>
      <rPr>
        <b/>
        <sz val="10"/>
        <rFont val="Arial"/>
        <family val="2"/>
      </rPr>
      <t>Sparge Acidification</t>
    </r>
    <r>
      <rPr>
        <sz val="10"/>
        <rFont val="Arial"/>
        <family val="2"/>
      </rPr>
      <t xml:space="preserve"> sheet and the dilution for mashing water on the </t>
    </r>
    <r>
      <rPr>
        <b/>
        <sz val="10"/>
        <rFont val="Arial"/>
        <family val="2"/>
      </rPr>
      <t>Water Adjustment</t>
    </r>
    <r>
      <rPr>
        <sz val="10"/>
        <rFont val="Arial"/>
        <family val="2"/>
      </rPr>
      <t xml:space="preserve"> sheet.</t>
    </r>
  </si>
  <si>
    <r>
      <t xml:space="preserve">The </t>
    </r>
    <r>
      <rPr>
        <b/>
        <sz val="10"/>
        <rFont val="Arial"/>
        <family val="2"/>
      </rPr>
      <t xml:space="preserve">Final Water Alkalinity </t>
    </r>
    <r>
      <rPr>
        <sz val="10"/>
        <rFont val="Arial"/>
        <family val="2"/>
      </rPr>
      <t xml:space="preserve">of the sparging water is the criteria used to guide the degree of acidification.  Reduce sparging water alkalinity to </t>
    </r>
    <r>
      <rPr>
        <b/>
        <sz val="10"/>
        <rFont val="Arial"/>
        <family val="2"/>
      </rPr>
      <t>25 ppm</t>
    </r>
    <r>
      <rPr>
        <sz val="10"/>
        <rFont val="Arial"/>
        <family val="2"/>
      </rPr>
      <t xml:space="preserve"> or less (as CaCO</t>
    </r>
    <r>
      <rPr>
        <vertAlign val="subscript"/>
        <sz val="10"/>
        <rFont val="Arial"/>
        <family val="2"/>
      </rPr>
      <t>3</t>
    </r>
    <r>
      <rPr>
        <sz val="10"/>
        <rFont val="Arial"/>
        <family val="2"/>
      </rPr>
      <t xml:space="preserve">) for best results.  </t>
    </r>
  </si>
  <si>
    <r>
      <t xml:space="preserve">To adjust the Final Alkalinity, vary the </t>
    </r>
    <r>
      <rPr>
        <b/>
        <sz val="10"/>
        <rFont val="Arial"/>
        <family val="2"/>
      </rPr>
      <t>Target Water pH</t>
    </r>
    <r>
      <rPr>
        <sz val="10"/>
        <rFont val="Arial"/>
        <family val="2"/>
      </rPr>
      <t xml:space="preserve"> value until a desirable low Final Alkalinity result is produced.  The </t>
    </r>
    <r>
      <rPr>
        <b/>
        <sz val="10"/>
        <rFont val="Arial"/>
        <family val="2"/>
      </rPr>
      <t>Set the Target Water pH</t>
    </r>
    <r>
      <rPr>
        <sz val="10"/>
        <rFont val="Arial"/>
        <family val="2"/>
      </rPr>
      <t xml:space="preserve"> value is the primary way to adjust the level of sparging water acidification.</t>
    </r>
  </si>
  <si>
    <r>
      <t>Under most conditions, the brewer should</t>
    </r>
    <r>
      <rPr>
        <b/>
        <sz val="10"/>
        <rFont val="Arial"/>
        <family val="2"/>
      </rPr>
      <t xml:space="preserve"> leave the Water Volume to Treat set to 1.0</t>
    </r>
    <r>
      <rPr>
        <sz val="10"/>
        <rFont val="Arial"/>
        <family val="2"/>
      </rPr>
      <t xml:space="preserve">.  Setting the water volume to either </t>
    </r>
    <r>
      <rPr>
        <b/>
        <sz val="10"/>
        <rFont val="Arial"/>
        <family val="2"/>
      </rPr>
      <t>One (1)</t>
    </r>
    <r>
      <rPr>
        <sz val="10"/>
        <rFont val="Arial"/>
        <family val="2"/>
      </rPr>
      <t xml:space="preserve"> </t>
    </r>
    <r>
      <rPr>
        <b/>
        <sz val="10"/>
        <rFont val="Arial"/>
        <family val="2"/>
      </rPr>
      <t xml:space="preserve">Gallon, Liter, Barrel, or Hectoliter </t>
    </r>
    <r>
      <rPr>
        <sz val="10"/>
        <rFont val="Arial"/>
        <family val="2"/>
      </rPr>
      <t xml:space="preserve">and the program will automatically scale the acid addition to correspond to the sparging water volume that is entered on the </t>
    </r>
    <r>
      <rPr>
        <b/>
        <sz val="10"/>
        <rFont val="Arial"/>
        <family val="2"/>
      </rPr>
      <t xml:space="preserve">Water Adjustment </t>
    </r>
    <r>
      <rPr>
        <sz val="10"/>
        <rFont val="Arial"/>
        <family val="2"/>
      </rPr>
      <t xml:space="preserve">sheet.  The Water Volume on the </t>
    </r>
    <r>
      <rPr>
        <b/>
        <sz val="10"/>
        <rFont val="Arial"/>
        <family val="2"/>
      </rPr>
      <t>Sparge Acidificaton</t>
    </r>
    <r>
      <rPr>
        <sz val="10"/>
        <rFont val="Arial"/>
        <family val="2"/>
      </rPr>
      <t xml:space="preserve"> sheet can be reset to an actual volume (other than 1) if the brewer wants to perform a quick acid addition calculation instead of working through the rest of the program.  </t>
    </r>
    <r>
      <rPr>
        <b/>
        <sz val="10"/>
        <rFont val="Arial"/>
        <family val="2"/>
      </rPr>
      <t xml:space="preserve">For normal brewing usage, set the water volume to 1. </t>
    </r>
  </si>
  <si>
    <r>
      <t xml:space="preserve">Use drop-down boxes to select the types of acid used for acidification.  Typical solid and liquid acids used in brewing and wine-making are provided in the selection boxes.  </t>
    </r>
    <r>
      <rPr>
        <b/>
        <sz val="10"/>
        <rFont val="Arial"/>
        <family val="2"/>
      </rPr>
      <t>If the acid is a liquid,</t>
    </r>
    <r>
      <rPr>
        <sz val="10"/>
        <rFont val="Arial"/>
        <family val="2"/>
      </rPr>
      <t xml:space="preserve"> enter the numerical strength reported for the acid and select the strength parameter   (</t>
    </r>
    <r>
      <rPr>
        <b/>
        <sz val="10"/>
        <rFont val="Arial"/>
        <family val="2"/>
      </rPr>
      <t>% = Percentage, N = Normality, M = Molarity</t>
    </r>
    <r>
      <rPr>
        <sz val="10"/>
        <rFont val="Arial"/>
        <family val="2"/>
      </rPr>
      <t xml:space="preserve">).  When entering acid percentage, enter as a whole number.  For example: enter 88% as 88 and not 0.88.  </t>
    </r>
    <r>
      <rPr>
        <b/>
        <sz val="10"/>
        <rFont val="Arial"/>
        <family val="2"/>
      </rPr>
      <t>When using solid acids, the strength parameter setting is not used and has no effect on the calculations</t>
    </r>
    <r>
      <rPr>
        <sz val="10"/>
        <rFont val="Arial"/>
        <family val="2"/>
      </rPr>
      <t>.</t>
    </r>
  </si>
  <si>
    <r>
      <t xml:space="preserve">To increase the program's versatility, </t>
    </r>
    <r>
      <rPr>
        <b/>
        <sz val="10"/>
        <rFont val="Arial"/>
        <family val="2"/>
      </rPr>
      <t>Bru'n Water</t>
    </r>
    <r>
      <rPr>
        <sz val="10"/>
        <rFont val="Arial"/>
        <family val="2"/>
      </rPr>
      <t xml:space="preserve"> allows brewers to use </t>
    </r>
    <r>
      <rPr>
        <b/>
        <sz val="10"/>
        <rFont val="Arial"/>
        <family val="2"/>
      </rPr>
      <t>2 different acids in both the sparging and mashing water treatment (up to 4 different acid additions)</t>
    </r>
    <r>
      <rPr>
        <sz val="10"/>
        <rFont val="Arial"/>
        <family val="2"/>
      </rPr>
      <t xml:space="preserve">. This feature may be useful for brewers with high alkalinity water that may incur excessive anion concentrations if only one type of acid is used. Using multiple acids may help keep those anions, such as lactate or sulfate, under their taste thresholds. The brewer must set the acid type and strength on both the </t>
    </r>
    <r>
      <rPr>
        <b/>
        <sz val="10"/>
        <rFont val="Arial"/>
        <family val="2"/>
      </rPr>
      <t>Sparge Acidification</t>
    </r>
    <r>
      <rPr>
        <sz val="10"/>
        <rFont val="Arial"/>
        <family val="2"/>
      </rPr>
      <t xml:space="preserve"> and </t>
    </r>
    <r>
      <rPr>
        <b/>
        <sz val="10"/>
        <rFont val="Arial"/>
        <family val="2"/>
      </rPr>
      <t>Water Adjustment</t>
    </r>
    <r>
      <rPr>
        <sz val="10"/>
        <rFont val="Arial"/>
        <family val="2"/>
      </rPr>
      <t xml:space="preserve"> sheets since each acid entry is separate.</t>
    </r>
  </si>
  <si>
    <r>
      <t xml:space="preserve">Variation in the water source pH or alkalinity can cause the pH target to be missed.  Heating or boiling water with moderate to high Temporary Hardness will Decarbonate the water.  This reduces the hardness and alkalinity of that water which will result in the overdosing of acid additions.   Since acid additions are calculated based on the unboiled alkalinity, </t>
    </r>
    <r>
      <rPr>
        <b/>
        <sz val="10"/>
        <rFont val="Arial"/>
        <family val="2"/>
      </rPr>
      <t xml:space="preserve">Add acid before heating water to avoid decarbonation and dropping water pH too low. </t>
    </r>
    <r>
      <rPr>
        <sz val="10"/>
        <rFont val="Arial"/>
        <family val="2"/>
      </rPr>
      <t xml:space="preserve"> The brewer should be aware of this possibility and measure their actual pH's when possible. </t>
    </r>
  </si>
  <si>
    <r>
      <t xml:space="preserve">When Sulfuric acid or CRS acid-blend is used, the concentration of added sulfate ions is provided in the </t>
    </r>
    <r>
      <rPr>
        <b/>
        <sz val="10"/>
        <rFont val="Arial"/>
        <family val="2"/>
      </rPr>
      <t>Outputs</t>
    </r>
    <r>
      <rPr>
        <sz val="10"/>
        <rFont val="Arial"/>
        <family val="2"/>
      </rPr>
      <t xml:space="preserve">.  When Hydrochloric acid or CRS acid-blend is used, the concentration of added chloride ions is provided in the </t>
    </r>
    <r>
      <rPr>
        <b/>
        <sz val="10"/>
        <rFont val="Arial"/>
        <family val="2"/>
      </rPr>
      <t>Outputs</t>
    </r>
    <r>
      <rPr>
        <sz val="10"/>
        <rFont val="Arial"/>
        <family val="2"/>
      </rPr>
      <t xml:space="preserve">.  These ion concentrations are averaged into the overall ionic profile of the finished water profile.     </t>
    </r>
  </si>
  <si>
    <r>
      <t xml:space="preserve">All acids used for acidification in the brewery should be sourced as Food-Grade chemicals.  The brewer should use acids with the designation: </t>
    </r>
    <r>
      <rPr>
        <b/>
        <sz val="10"/>
        <rFont val="Arial"/>
        <family val="2"/>
      </rPr>
      <t>Food Chemical Codex (FCC) or United States Pharmacopeia (USP)</t>
    </r>
    <r>
      <rPr>
        <sz val="10"/>
        <rFont val="Arial"/>
        <family val="2"/>
      </rPr>
      <t xml:space="preserve">.  This is particularly important for the acids since they can easily dissolve and contaminated with heavy metals that are hazardous to health.  Although the highest purity classification for chemicals in the U.S. is </t>
    </r>
    <r>
      <rPr>
        <b/>
        <sz val="10"/>
        <rFont val="Arial"/>
        <family val="2"/>
      </rPr>
      <t xml:space="preserve">Reagent ACS </t>
    </r>
    <r>
      <rPr>
        <sz val="10"/>
        <rFont val="Arial"/>
        <family val="2"/>
      </rPr>
      <t xml:space="preserve">grade as designated by the American Chemical Society (ACS), it does not guarantee that hazardous or deleterious substances have not been introduced into the acid.  The </t>
    </r>
    <r>
      <rPr>
        <b/>
        <sz val="10"/>
        <rFont val="Arial"/>
        <family val="2"/>
      </rPr>
      <t>FCC</t>
    </r>
    <r>
      <rPr>
        <sz val="10"/>
        <rFont val="Arial"/>
        <family val="2"/>
      </rPr>
      <t xml:space="preserve"> grade should be preferentially sourced for brewery use.  </t>
    </r>
    <r>
      <rPr>
        <b/>
        <sz val="10"/>
        <rFont val="Arial"/>
        <family val="2"/>
      </rPr>
      <t>Reagent ACS</t>
    </r>
    <r>
      <rPr>
        <sz val="10"/>
        <rFont val="Arial"/>
        <family val="2"/>
      </rPr>
      <t xml:space="preserve"> or </t>
    </r>
    <r>
      <rPr>
        <b/>
        <sz val="10"/>
        <rFont val="Arial"/>
        <family val="2"/>
      </rPr>
      <t>Reagen</t>
    </r>
    <r>
      <rPr>
        <sz val="10"/>
        <rFont val="Arial"/>
        <family val="2"/>
      </rPr>
      <t>t grade acids might be considered if food-grade acids cannot be obtained.</t>
    </r>
  </si>
  <si>
    <r>
      <t xml:space="preserve">The </t>
    </r>
    <r>
      <rPr>
        <b/>
        <sz val="10"/>
        <rFont val="Arial"/>
        <family val="2"/>
      </rPr>
      <t>Grain Bill Input</t>
    </r>
    <r>
      <rPr>
        <sz val="10"/>
        <rFont val="Arial"/>
        <family val="2"/>
      </rPr>
      <t xml:space="preserve"> sheet is where the brewer enters the actual types and quantities of grains used in the mash.</t>
    </r>
  </si>
  <si>
    <r>
      <t xml:space="preserve">In the past, rough correlations between beer color and appropriate Residual Alkalinity (RA) had been proposed.  Due to the non-linear relationships between grain color and its acidity, a good correlation cannot definitively be made between RA and beer color.  This </t>
    </r>
    <r>
      <rPr>
        <b/>
        <sz val="10"/>
        <rFont val="Arial"/>
        <family val="2"/>
      </rPr>
      <t xml:space="preserve">Grain Bill Input </t>
    </r>
    <r>
      <rPr>
        <sz val="10"/>
        <rFont val="Arial"/>
        <family val="2"/>
      </rPr>
      <t xml:space="preserve">sheet was developed to provide brewers with a more accurate assessment of beer color, alkalinity, and the resulting Net Acidity that drives the mash pH. </t>
    </r>
  </si>
  <si>
    <r>
      <t xml:space="preserve">After the grain information is entered, the </t>
    </r>
    <r>
      <rPr>
        <b/>
        <sz val="10"/>
        <rFont val="Arial"/>
        <family val="2"/>
      </rPr>
      <t>Total Weight</t>
    </r>
    <r>
      <rPr>
        <sz val="10"/>
        <rFont val="Arial"/>
        <family val="2"/>
      </rPr>
      <t xml:space="preserve"> of the grist and its </t>
    </r>
    <r>
      <rPr>
        <b/>
        <sz val="10"/>
        <rFont val="Arial"/>
        <family val="2"/>
      </rPr>
      <t>Water to Grist Ratio</t>
    </r>
    <r>
      <rPr>
        <sz val="10"/>
        <rFont val="Arial"/>
        <family val="2"/>
      </rPr>
      <t xml:space="preserve"> are provided at the bottom of the sheet.  Compare the calculated total weight to your recipe total to verify the grain entries are correct.   A listing of the relative percentage of each grain in the grist is provided for confirmation with any other brewing recipe software the brewer uses. </t>
    </r>
  </si>
  <si>
    <r>
      <t xml:space="preserve">The </t>
    </r>
    <r>
      <rPr>
        <b/>
        <sz val="10"/>
        <rFont val="Arial"/>
        <family val="2"/>
      </rPr>
      <t>Estimated Color</t>
    </r>
    <r>
      <rPr>
        <sz val="10"/>
        <rFont val="Arial"/>
        <family val="2"/>
      </rPr>
      <t xml:space="preserve"> of the beer (in EBC and SRM units) is provided at the bottom of the sheet for comparison with the brewer's brewing calculations or software results (Promash, Beersmith, etc.).  Note that the batch volume (entered on the </t>
    </r>
    <r>
      <rPr>
        <b/>
        <sz val="10"/>
        <rFont val="Arial"/>
        <family val="2"/>
      </rPr>
      <t>Water Adjustment</t>
    </r>
    <r>
      <rPr>
        <sz val="10"/>
        <rFont val="Arial"/>
        <family val="2"/>
      </rPr>
      <t xml:space="preserve"> sheet) affects this calculation and must be the same as the brewing calculation's or software's input in order to see agreement.  The Morey equation is used for the color calculation. </t>
    </r>
  </si>
  <si>
    <r>
      <rPr>
        <b/>
        <sz val="10"/>
        <rFont val="Arial"/>
        <family val="2"/>
      </rPr>
      <t>Water Source Setting</t>
    </r>
    <r>
      <rPr>
        <sz val="10"/>
        <rFont val="Arial"/>
        <family val="2"/>
      </rPr>
      <t xml:space="preserve">: At the bottom of the </t>
    </r>
    <r>
      <rPr>
        <b/>
        <sz val="10"/>
        <rFont val="Arial"/>
        <family val="2"/>
      </rPr>
      <t>Grain Bill Input</t>
    </r>
    <r>
      <rPr>
        <sz val="10"/>
        <rFont val="Arial"/>
        <family val="2"/>
      </rPr>
      <t xml:space="preserve"> sheet, a drop-down box allows the brewer to toggle between the brewer's </t>
    </r>
    <r>
      <rPr>
        <b/>
        <sz val="10"/>
        <rFont val="Arial"/>
        <family val="2"/>
      </rPr>
      <t>Existing</t>
    </r>
    <r>
      <rPr>
        <sz val="10"/>
        <rFont val="Arial"/>
        <family val="2"/>
      </rPr>
      <t xml:space="preserve"> </t>
    </r>
    <r>
      <rPr>
        <b/>
        <sz val="10"/>
        <rFont val="Arial"/>
        <family val="2"/>
      </rPr>
      <t>Water</t>
    </r>
    <r>
      <rPr>
        <sz val="10"/>
        <rFont val="Arial"/>
        <family val="2"/>
      </rPr>
      <t xml:space="preserve"> (unadjusted) and the </t>
    </r>
    <r>
      <rPr>
        <b/>
        <sz val="10"/>
        <rFont val="Arial"/>
        <family val="2"/>
      </rPr>
      <t>Adjusted</t>
    </r>
    <r>
      <rPr>
        <sz val="10"/>
        <rFont val="Arial"/>
        <family val="2"/>
      </rPr>
      <t xml:space="preserve"> </t>
    </r>
    <r>
      <rPr>
        <b/>
        <sz val="10"/>
        <rFont val="Arial"/>
        <family val="2"/>
      </rPr>
      <t>Water</t>
    </r>
    <r>
      <rPr>
        <sz val="10"/>
        <rFont val="Arial"/>
        <family val="2"/>
      </rPr>
      <t xml:space="preserve"> (Finished) calculated on the </t>
    </r>
    <r>
      <rPr>
        <b/>
        <sz val="10"/>
        <rFont val="Arial"/>
        <family val="2"/>
      </rPr>
      <t>Water  Adjustment</t>
    </r>
    <r>
      <rPr>
        <sz val="10"/>
        <rFont val="Arial"/>
        <family val="2"/>
      </rPr>
      <t xml:space="preserve"> sheet.  Typically, the box should be left on the </t>
    </r>
    <r>
      <rPr>
        <b/>
        <sz val="10"/>
        <rFont val="Arial"/>
        <family val="2"/>
      </rPr>
      <t>Adjusted Water</t>
    </r>
    <r>
      <rPr>
        <sz val="10"/>
        <rFont val="Arial"/>
        <family val="2"/>
      </rPr>
      <t xml:space="preserve"> setting, but the brewer can use the other setting to see what the </t>
    </r>
    <r>
      <rPr>
        <b/>
        <sz val="10"/>
        <rFont val="Arial"/>
        <family val="2"/>
      </rPr>
      <t>mash pH</t>
    </r>
    <r>
      <rPr>
        <sz val="10"/>
        <rFont val="Arial"/>
        <family val="2"/>
      </rPr>
      <t xml:space="preserve"> would be without water adjustment.  Select the cell and the drop-down selection box will appear.</t>
    </r>
  </si>
  <si>
    <r>
      <rPr>
        <b/>
        <sz val="10"/>
        <rFont val="Arial"/>
        <family val="2"/>
      </rPr>
      <t>Acid Malt Strength setting</t>
    </r>
    <r>
      <rPr>
        <sz val="10"/>
        <rFont val="Arial"/>
        <family val="2"/>
      </rPr>
      <t xml:space="preserve">: Since acid malt is a natural product, its acidity can vary between batches and maltsters. A strength setting can be adjusted at the bottom of the </t>
    </r>
    <r>
      <rPr>
        <b/>
        <sz val="10"/>
        <rFont val="Arial"/>
        <family val="2"/>
      </rPr>
      <t xml:space="preserve">Grain Bill Input </t>
    </r>
    <r>
      <rPr>
        <sz val="10"/>
        <rFont val="Arial"/>
        <family val="2"/>
      </rPr>
      <t xml:space="preserve">sheet to help correct for that variability and help the program match observed mash pH. The </t>
    </r>
    <r>
      <rPr>
        <b/>
        <sz val="10"/>
        <rFont val="Arial"/>
        <family val="2"/>
      </rPr>
      <t xml:space="preserve">normal </t>
    </r>
    <r>
      <rPr>
        <sz val="10"/>
        <rFont val="Arial"/>
        <family val="2"/>
      </rPr>
      <t xml:space="preserve">strength setting is </t>
    </r>
    <r>
      <rPr>
        <b/>
        <sz val="10"/>
        <rFont val="Arial"/>
        <family val="2"/>
      </rPr>
      <t xml:space="preserve">one (1) </t>
    </r>
    <r>
      <rPr>
        <sz val="10"/>
        <rFont val="Arial"/>
        <family val="2"/>
      </rPr>
      <t xml:space="preserve">which should generally produce a pH drop of about 0.1 unit for each percent of acid malt in the grain bill. If observed mash pH is consistently lower than predicted by </t>
    </r>
    <r>
      <rPr>
        <b/>
        <sz val="10"/>
        <rFont val="Arial"/>
        <family val="2"/>
      </rPr>
      <t>Bru'n Water</t>
    </r>
    <r>
      <rPr>
        <sz val="10"/>
        <rFont val="Arial"/>
        <family val="2"/>
      </rPr>
      <t xml:space="preserve">, reduce the strength value to less than one. If the observed mash pH is consistently higher than predicted, increase the strength setting to greater than one. The </t>
    </r>
    <r>
      <rPr>
        <b/>
        <sz val="10"/>
        <rFont val="Arial"/>
        <family val="2"/>
      </rPr>
      <t xml:space="preserve">strength setting </t>
    </r>
    <r>
      <rPr>
        <sz val="10"/>
        <rFont val="Arial"/>
        <family val="2"/>
      </rPr>
      <t xml:space="preserve">is likely to fall between </t>
    </r>
    <r>
      <rPr>
        <b/>
        <sz val="10"/>
        <rFont val="Arial"/>
        <family val="2"/>
      </rPr>
      <t>0.5</t>
    </r>
    <r>
      <rPr>
        <sz val="10"/>
        <rFont val="Arial"/>
        <family val="2"/>
      </rPr>
      <t xml:space="preserve"> and </t>
    </r>
    <r>
      <rPr>
        <b/>
        <sz val="10"/>
        <rFont val="Arial"/>
        <family val="2"/>
      </rPr>
      <t>2.0</t>
    </r>
    <r>
      <rPr>
        <sz val="10"/>
        <rFont val="Arial"/>
        <family val="2"/>
      </rPr>
      <t>.</t>
    </r>
  </si>
  <si>
    <r>
      <t xml:space="preserve">The </t>
    </r>
    <r>
      <rPr>
        <b/>
        <sz val="10"/>
        <rFont val="Arial"/>
        <family val="2"/>
      </rPr>
      <t>Bru'n Water</t>
    </r>
    <r>
      <rPr>
        <sz val="10"/>
        <rFont val="Arial"/>
        <family val="2"/>
      </rPr>
      <t xml:space="preserve"> mash pH estimation should only be considered a good approximation.  Variation in water, mineral, and grain quality can easily alter the actual mash pH.  The brewer can expect that the estimated mash pH should typically be within 0.2 units from the room-temperature mash pH reading.  The algorithm used to estimate the mash pH was produced through the evaluation of actual mashs and resulting pH.  That algorithm will be modified based on the results of brewer's reports.  A copy of this program that includes the brewer's input data along with their measured room-temperature mash pH can be sent to the program author for inclusion in this study and refinement.  </t>
    </r>
  </si>
  <si>
    <r>
      <t xml:space="preserve">Characteristics of wort from the mash can be altered slightly through adjustment of the mash pH.  The Extract and Fermentability of the wort can be enhanced by adjusting the wort pH toward the low end of the range.  Conversely, the Body and Mouthfeel of the wort can be enhanced by adjusting the wort pH toward the high end of the range (from Malting and Brewing Science, 1981).  The brewer should consider these results when adjusting the mashing water alkalinity and the resulting mash pH. </t>
    </r>
    <r>
      <rPr>
        <b/>
        <sz val="10"/>
        <rFont val="Arial"/>
        <family val="2"/>
      </rPr>
      <t/>
    </r>
  </si>
  <si>
    <r>
      <rPr>
        <b/>
        <sz val="10"/>
        <rFont val="Arial"/>
        <family val="2"/>
      </rPr>
      <t>Remember:</t>
    </r>
    <r>
      <rPr>
        <sz val="10"/>
        <rFont val="Arial"/>
        <family val="2"/>
      </rPr>
      <t xml:space="preserve"> 
              </t>
    </r>
    <r>
      <rPr>
        <b/>
        <sz val="10"/>
        <rFont val="Arial"/>
        <family val="2"/>
      </rPr>
      <t>Lower mash pH = higher fermentability and less body</t>
    </r>
    <r>
      <rPr>
        <sz val="10"/>
        <rFont val="Arial"/>
        <family val="2"/>
      </rPr>
      <t xml:space="preserve">
             </t>
    </r>
    <r>
      <rPr>
        <b/>
        <sz val="10"/>
        <rFont val="Arial"/>
        <family val="2"/>
      </rPr>
      <t xml:space="preserve"> Higher mash pH = lower fermentability and more body</t>
    </r>
    <r>
      <rPr>
        <sz val="10"/>
        <rFont val="Arial"/>
        <family val="2"/>
      </rPr>
      <t xml:space="preserve">
Keep mash pH within the desired pH range to help produce your desired result.</t>
    </r>
  </si>
  <si>
    <r>
      <t xml:space="preserve">To produce the mash pH effects mentioned above, the brewer should generally target a room-temperature pH range of between 5.3 and 5.5.  </t>
    </r>
    <r>
      <rPr>
        <b/>
        <sz val="10"/>
        <rFont val="Arial"/>
        <family val="2"/>
      </rPr>
      <t>Target a mash pH of 5.3 for the lower mash pH perceptions and target a mash pH of 5.5 for the higher mash pH perceptions.</t>
    </r>
  </si>
  <si>
    <r>
      <t xml:space="preserve">Adjust the acid malt content of the grain bill or revisit the </t>
    </r>
    <r>
      <rPr>
        <b/>
        <sz val="10"/>
        <rFont val="Arial"/>
        <family val="2"/>
      </rPr>
      <t>Water Adjustment</t>
    </r>
    <r>
      <rPr>
        <sz val="10"/>
        <rFont val="Arial"/>
        <family val="2"/>
      </rPr>
      <t xml:space="preserve"> sheet if the </t>
    </r>
    <r>
      <rPr>
        <b/>
        <sz val="10"/>
        <rFont val="Arial"/>
        <family val="2"/>
      </rPr>
      <t xml:space="preserve">Predicted Mash pH </t>
    </r>
    <r>
      <rPr>
        <sz val="10"/>
        <rFont val="Arial"/>
        <family val="2"/>
      </rPr>
      <t xml:space="preserve">does not fall within the brewer's target pH range. The </t>
    </r>
    <r>
      <rPr>
        <b/>
        <sz val="10"/>
        <rFont val="Arial"/>
        <family val="2"/>
      </rPr>
      <t>Water Adjustment</t>
    </r>
    <r>
      <rPr>
        <sz val="10"/>
        <rFont val="Arial"/>
        <family val="2"/>
      </rPr>
      <t xml:space="preserve"> sheet provides tools to adjust the mash pH.  The mash pH prediction from the </t>
    </r>
    <r>
      <rPr>
        <b/>
        <sz val="10"/>
        <rFont val="Arial"/>
        <family val="2"/>
      </rPr>
      <t>Grain Bill Input</t>
    </r>
    <r>
      <rPr>
        <sz val="10"/>
        <rFont val="Arial"/>
        <family val="2"/>
      </rPr>
      <t xml:space="preserve"> sheet is also shown on the </t>
    </r>
    <r>
      <rPr>
        <b/>
        <sz val="10"/>
        <rFont val="Arial"/>
        <family val="2"/>
      </rPr>
      <t xml:space="preserve">Water Adjustment </t>
    </r>
    <r>
      <rPr>
        <sz val="10"/>
        <rFont val="Arial"/>
        <family val="2"/>
      </rPr>
      <t xml:space="preserve">sheet so that the brewer can fine-tune the mineral and acid additions without switching to the </t>
    </r>
    <r>
      <rPr>
        <b/>
        <sz val="10"/>
        <rFont val="Arial"/>
        <family val="2"/>
      </rPr>
      <t>Grain Bill Input</t>
    </r>
    <r>
      <rPr>
        <sz val="10"/>
        <rFont val="Arial"/>
        <family val="2"/>
      </rPr>
      <t xml:space="preserve"> sheet.  Be aware that the mash pH predictions are not valid until the mash grist and water volume are properly entered on the </t>
    </r>
    <r>
      <rPr>
        <b/>
        <sz val="10"/>
        <rFont val="Arial"/>
        <family val="2"/>
      </rPr>
      <t>Grain Bill Input</t>
    </r>
    <r>
      <rPr>
        <sz val="10"/>
        <rFont val="Arial"/>
        <family val="2"/>
      </rPr>
      <t xml:space="preserve"> sheet.</t>
    </r>
  </si>
  <si>
    <t xml:space="preserve">The Mash Acidification analysis provides a better assessment of what mash pH will be produced.  This enables the brewer to better adjust their water or mashing conditions to produce the beer characteristics they prefer or require.  </t>
  </si>
  <si>
    <r>
      <t xml:space="preserve">If the Brewery has a consistent source water quality, its likely that the </t>
    </r>
    <r>
      <rPr>
        <b/>
        <sz val="10"/>
        <rFont val="Arial"/>
        <family val="2"/>
      </rPr>
      <t>Water Report Input</t>
    </r>
    <r>
      <rPr>
        <sz val="10"/>
        <rFont val="Arial"/>
        <family val="2"/>
      </rPr>
      <t xml:space="preserve"> and </t>
    </r>
    <r>
      <rPr>
        <b/>
        <sz val="10"/>
        <rFont val="Arial"/>
        <family val="2"/>
      </rPr>
      <t>Sparge Acidification</t>
    </r>
    <r>
      <rPr>
        <sz val="10"/>
        <rFont val="Arial"/>
        <family val="2"/>
      </rPr>
      <t xml:space="preserve"> sheets will not need to be updated for subsequent brews.  Only the </t>
    </r>
    <r>
      <rPr>
        <b/>
        <sz val="10"/>
        <rFont val="Arial"/>
        <family val="2"/>
      </rPr>
      <t>Water Adjustment</t>
    </r>
    <r>
      <rPr>
        <sz val="10"/>
        <rFont val="Arial"/>
        <family val="2"/>
      </rPr>
      <t xml:space="preserve"> and </t>
    </r>
    <r>
      <rPr>
        <b/>
        <sz val="10"/>
        <rFont val="Arial"/>
        <family val="2"/>
      </rPr>
      <t>Grain Bill Input</t>
    </r>
    <r>
      <rPr>
        <sz val="10"/>
        <rFont val="Arial"/>
        <family val="2"/>
      </rPr>
      <t xml:space="preserve"> sheets will have to be updated for each brew.  </t>
    </r>
  </si>
  <si>
    <r>
      <t xml:space="preserve">A </t>
    </r>
    <r>
      <rPr>
        <b/>
        <sz val="10"/>
        <rFont val="Arial"/>
        <family val="2"/>
      </rPr>
      <t>Desired Water Profile</t>
    </r>
    <r>
      <rPr>
        <sz val="10"/>
        <rFont val="Arial"/>
        <family val="2"/>
      </rPr>
      <t xml:space="preserve"> can be input in the </t>
    </r>
    <r>
      <rPr>
        <b/>
        <sz val="10"/>
        <rFont val="Arial"/>
        <family val="2"/>
      </rPr>
      <t>Water Adjustment</t>
    </r>
    <r>
      <rPr>
        <sz val="10"/>
        <rFont val="Arial"/>
        <family val="2"/>
      </rPr>
      <t xml:space="preserve"> sheet from either a selection of profiles that generally fit the intended beer style.  The </t>
    </r>
    <r>
      <rPr>
        <b/>
        <sz val="10"/>
        <rFont val="Arial"/>
        <family val="2"/>
      </rPr>
      <t>Water Adjustment</t>
    </r>
    <r>
      <rPr>
        <sz val="10"/>
        <rFont val="Arial"/>
        <family val="2"/>
      </rPr>
      <t xml:space="preserve"> sheet includes typical minerals and acids that can be used to adjust the water ion content.</t>
    </r>
  </si>
  <si>
    <t xml:space="preserve">A wide range of target water profiles are available in the drop-down selector box to suit a variety of beer styles.  These water profiles have been thoroughly researched and represent accurate and balanced ion concentrations for either the brewing center location or the beer style.  Unfortunately, water profiles previously published in both print and electronic resources have had serious errors in ion content and ionic balance and cannot always be considered accurate or appropriate.  The water profiles presented in this program provide the brewer with the best information available.  </t>
  </si>
  <si>
    <r>
      <t xml:space="preserve">The </t>
    </r>
    <r>
      <rPr>
        <b/>
        <sz val="10"/>
        <rFont val="Arial"/>
        <family val="2"/>
      </rPr>
      <t xml:space="preserve">Bru'n Water </t>
    </r>
    <r>
      <rPr>
        <sz val="10"/>
        <rFont val="Arial"/>
        <family val="2"/>
      </rPr>
      <t xml:space="preserve">water profiles include recommendations based on the color of the beer to be produced.  These profiles were devised to provide relatively low mineralization while providing minimum recommended calcium concentration and modest levels of magnesium, sodium, chloride, and sulfate.  In general, the residual alkalinity (RA) should increase as the beer color increases.  For the brewer's convenience, a description of the color range for the color descriptors used in the provided water profiles is provided below and on the </t>
    </r>
    <r>
      <rPr>
        <b/>
        <sz val="10"/>
        <rFont val="Arial"/>
        <family val="2"/>
      </rPr>
      <t>Water Adjustment</t>
    </r>
    <r>
      <rPr>
        <sz val="10"/>
        <rFont val="Arial"/>
        <family val="2"/>
      </rPr>
      <t xml:space="preserve"> sheet.  </t>
    </r>
  </si>
  <si>
    <r>
      <t xml:space="preserve">If the </t>
    </r>
    <r>
      <rPr>
        <b/>
        <sz val="10"/>
        <rFont val="Arial"/>
        <family val="2"/>
      </rPr>
      <t>Existing Water Profile</t>
    </r>
    <r>
      <rPr>
        <sz val="10"/>
        <rFont val="Arial"/>
        <family val="2"/>
      </rPr>
      <t xml:space="preserve"> has ion concentrations that are higher than the </t>
    </r>
    <r>
      <rPr>
        <b/>
        <sz val="10"/>
        <rFont val="Arial"/>
        <family val="2"/>
      </rPr>
      <t>Desired Water Profile</t>
    </r>
    <r>
      <rPr>
        <sz val="10"/>
        <rFont val="Arial"/>
        <family val="2"/>
      </rPr>
      <t xml:space="preserve">, then dilution with distilled water (DI) or reverse osmosis (RO) water can be used to reduce those ion concentrations.  To help identify when ion concentrations in the </t>
    </r>
    <r>
      <rPr>
        <b/>
        <sz val="10"/>
        <rFont val="Arial"/>
        <family val="2"/>
      </rPr>
      <t>Existing Water Profile</t>
    </r>
    <r>
      <rPr>
        <sz val="10"/>
        <rFont val="Arial"/>
        <family val="2"/>
      </rPr>
      <t xml:space="preserve"> are higher than the </t>
    </r>
    <r>
      <rPr>
        <b/>
        <sz val="10"/>
        <rFont val="Arial"/>
        <family val="2"/>
      </rPr>
      <t>Desired Water Profile</t>
    </r>
    <r>
      <rPr>
        <sz val="10"/>
        <rFont val="Arial"/>
        <family val="2"/>
      </rPr>
      <t xml:space="preserve">, cells within the </t>
    </r>
    <r>
      <rPr>
        <b/>
        <sz val="10"/>
        <rFont val="Arial"/>
        <family val="2"/>
      </rPr>
      <t>Target Water Adjustment</t>
    </r>
    <r>
      <rPr>
        <sz val="10"/>
        <rFont val="Arial"/>
        <family val="2"/>
      </rPr>
      <t xml:space="preserve"> line will be colored </t>
    </r>
    <r>
      <rPr>
        <b/>
        <sz val="10"/>
        <color indexed="10"/>
        <rFont val="Arial"/>
        <family val="2"/>
      </rPr>
      <t>RED</t>
    </r>
    <r>
      <rPr>
        <sz val="10"/>
        <rFont val="Arial"/>
        <family val="2"/>
      </rPr>
      <t xml:space="preserve">.  If the difference between the </t>
    </r>
    <r>
      <rPr>
        <b/>
        <sz val="10"/>
        <rFont val="Arial"/>
        <family val="2"/>
      </rPr>
      <t>Existing</t>
    </r>
    <r>
      <rPr>
        <sz val="10"/>
        <rFont val="Arial"/>
        <family val="2"/>
      </rPr>
      <t xml:space="preserve"> and </t>
    </r>
    <r>
      <rPr>
        <b/>
        <sz val="10"/>
        <rFont val="Arial"/>
        <family val="2"/>
      </rPr>
      <t>Desired</t>
    </r>
    <r>
      <rPr>
        <sz val="10"/>
        <rFont val="Arial"/>
        <family val="2"/>
      </rPr>
      <t xml:space="preserve"> ion concentrations are small, the brewer may decide to ignore the need to dilute the existing water to reduce the </t>
    </r>
    <r>
      <rPr>
        <b/>
        <sz val="10"/>
        <rFont val="Arial"/>
        <family val="2"/>
      </rPr>
      <t>Existing</t>
    </r>
    <r>
      <rPr>
        <sz val="10"/>
        <rFont val="Arial"/>
        <family val="2"/>
      </rPr>
      <t xml:space="preserve"> concentrations.  The brewer should avoid adding minerals that increase over-Target ion concentrations.  </t>
    </r>
  </si>
  <si>
    <r>
      <t xml:space="preserve">Using the minerals the brewer has on hand, add quantities of those minerals on a trial and error basis within the program until acceptable agreement between the </t>
    </r>
    <r>
      <rPr>
        <b/>
        <sz val="10"/>
        <rFont val="Arial"/>
        <family val="2"/>
      </rPr>
      <t xml:space="preserve">Target </t>
    </r>
    <r>
      <rPr>
        <sz val="10"/>
        <rFont val="Arial"/>
        <family val="2"/>
      </rPr>
      <t xml:space="preserve">and </t>
    </r>
    <r>
      <rPr>
        <b/>
        <sz val="10"/>
        <rFont val="Arial"/>
        <family val="2"/>
      </rPr>
      <t>Actual</t>
    </r>
    <r>
      <rPr>
        <sz val="10"/>
        <rFont val="Arial"/>
        <family val="2"/>
      </rPr>
      <t xml:space="preserve"> Water adjustments is achieved.  For most ions, the </t>
    </r>
    <r>
      <rPr>
        <b/>
        <sz val="10"/>
        <rFont val="Arial"/>
        <family val="2"/>
      </rPr>
      <t>Actual Water Adjustment</t>
    </r>
    <r>
      <rPr>
        <sz val="10"/>
        <rFont val="Arial"/>
        <family val="2"/>
      </rPr>
      <t xml:space="preserve"> and </t>
    </r>
    <r>
      <rPr>
        <b/>
        <sz val="10"/>
        <rFont val="Arial"/>
        <family val="2"/>
      </rPr>
      <t>Finished Water Profile</t>
    </r>
    <r>
      <rPr>
        <sz val="10"/>
        <rFont val="Arial"/>
        <family val="2"/>
      </rPr>
      <t xml:space="preserve"> cells will turn </t>
    </r>
    <r>
      <rPr>
        <b/>
        <sz val="10"/>
        <color indexed="17"/>
        <rFont val="Arial"/>
        <family val="2"/>
      </rPr>
      <t>GREEN</t>
    </r>
    <r>
      <rPr>
        <sz val="10"/>
        <rFont val="Arial"/>
        <family val="2"/>
      </rPr>
      <t xml:space="preserve"> when the concentrations are close enough to the </t>
    </r>
    <r>
      <rPr>
        <b/>
        <sz val="10"/>
        <rFont val="Arial"/>
        <family val="2"/>
      </rPr>
      <t>Desired Water Profile</t>
    </r>
    <r>
      <rPr>
        <sz val="10"/>
        <rFont val="Arial"/>
        <family val="2"/>
      </rPr>
      <t xml:space="preserve">.     </t>
    </r>
  </si>
  <si>
    <r>
      <rPr>
        <b/>
        <sz val="10"/>
        <rFont val="Arial"/>
        <family val="2"/>
      </rPr>
      <t>Customizing Water Profiles:</t>
    </r>
    <r>
      <rPr>
        <sz val="10"/>
        <rFont val="Arial"/>
        <family val="2"/>
      </rPr>
      <t xml:space="preserve"> If the brewer desires to adjust the ion concentrations or names of the supplied water profiles, the water profile table is located at the bottom of the </t>
    </r>
    <r>
      <rPr>
        <b/>
        <sz val="10"/>
        <rFont val="Arial"/>
        <family val="2"/>
      </rPr>
      <t>Water Adjustment</t>
    </r>
    <r>
      <rPr>
        <sz val="10"/>
        <rFont val="Arial"/>
        <family val="2"/>
      </rPr>
      <t xml:space="preserve"> sheet (scroll down) and the water profiles can be adjusted by the brewer.  The </t>
    </r>
    <r>
      <rPr>
        <b/>
        <sz val="10"/>
        <rFont val="Arial"/>
        <family val="2"/>
      </rPr>
      <t>Distilled</t>
    </r>
    <r>
      <rPr>
        <sz val="10"/>
        <rFont val="Arial"/>
        <family val="2"/>
      </rPr>
      <t xml:space="preserve"> and </t>
    </r>
    <r>
      <rPr>
        <b/>
        <sz val="10"/>
        <rFont val="Arial"/>
        <family val="2"/>
      </rPr>
      <t>RO</t>
    </r>
    <r>
      <rPr>
        <sz val="10"/>
        <rFont val="Arial"/>
        <family val="2"/>
      </rPr>
      <t xml:space="preserve"> water profiles can also be renamed and their concentrations changed. Be sure to verify that the Cation and Anion totals match when adjustments to a water profile are entered.  The Cation and Anion cells in the table will turn </t>
    </r>
    <r>
      <rPr>
        <b/>
        <sz val="10"/>
        <color indexed="17"/>
        <rFont val="Arial"/>
        <family val="2"/>
      </rPr>
      <t xml:space="preserve">GREEN </t>
    </r>
    <r>
      <rPr>
        <sz val="10"/>
        <rFont val="Arial"/>
        <family val="2"/>
      </rPr>
      <t>when the ion totals are within 0.1 of each other to alert the brewer that the ion totals are appropriate.</t>
    </r>
  </si>
  <si>
    <r>
      <t xml:space="preserve">The brewer should recognize that the </t>
    </r>
    <r>
      <rPr>
        <b/>
        <sz val="10"/>
        <rFont val="Arial"/>
        <family val="2"/>
      </rPr>
      <t xml:space="preserve">Sulfate/Chloride ratio </t>
    </r>
    <r>
      <rPr>
        <sz val="10"/>
        <rFont val="Arial"/>
        <family val="2"/>
      </rPr>
      <t xml:space="preserve">only improves the perception of dryness-bitterness or fullness-maltiness in the beer, but the actual bittering compounds added to the wort (hops, roast, spice, etc) are the primary components in the bittering balance of the beer.  The brewer should evaluate the bittering contribution of those components through other brewing guides.  If malty beer is desired, the bittering level should be reduced and conversely if bitter beer is desired, the bittering level should be increased.   The </t>
    </r>
    <r>
      <rPr>
        <b/>
        <sz val="10"/>
        <rFont val="Arial"/>
        <family val="2"/>
      </rPr>
      <t>Sulfate/Chloride Ratio</t>
    </r>
    <r>
      <rPr>
        <sz val="10"/>
        <rFont val="Arial"/>
        <family val="2"/>
      </rPr>
      <t xml:space="preserve"> does not change the bittering level in the beer, only the ability to perceive or accentuate the dryness and bitterness or fullness and maltiness in the beer.</t>
    </r>
  </si>
  <si>
    <t xml:space="preserve">Minerals for sparging water can be added to the sparging water prior to sparging or can be added directly to the kettle prior to the boil.  DO NOT ADD MINERALS AND ACIDS TO THE GRAIN OR MASH SINCE IT IS VERY DIFFICULT TO DISTRIBUTE THOSE ADDITIONS EVENLY THROUGHOUT THE MASH BY MIXING OR STIRRING. Add the minerals and acids to the water prior to adding the grain in order to assure those additions are evenly distributed.  </t>
  </si>
  <si>
    <r>
      <t>To effectively use Chalk, the Chalk has to be fully dissolved by mixing it with water in a sealed container and then pressurizing with Carbon Dioxide (CO</t>
    </r>
    <r>
      <rPr>
        <vertAlign val="subscript"/>
        <sz val="10"/>
        <rFont val="Arial"/>
        <family val="2"/>
      </rPr>
      <t>2</t>
    </r>
    <r>
      <rPr>
        <sz val="10"/>
        <rFont val="Arial"/>
        <family val="2"/>
      </rPr>
      <t>).  The CO</t>
    </r>
    <r>
      <rPr>
        <vertAlign val="subscript"/>
        <sz val="10"/>
        <rFont val="Arial"/>
        <family val="2"/>
      </rPr>
      <t>2</t>
    </r>
    <r>
      <rPr>
        <sz val="10"/>
        <rFont val="Arial"/>
        <family val="2"/>
      </rPr>
      <t xml:space="preserve"> dissolves the Chalk in the water, changing the water from cloudy to clear.   This process is not quick and requires planning and preparation.  Therefore, using Chalk to add alkalinity to mash water is not recommended unless the brewer is going to perform these measures.   </t>
    </r>
  </si>
  <si>
    <r>
      <t xml:space="preserve">Acids and Bases (Baking Soda, Chalk, and Pickling Lime) should not both be added to water since they counteract each other.  Add either an acid or a base as needed to control mash pH, not both.  If both an acid and base are entered on the </t>
    </r>
    <r>
      <rPr>
        <b/>
        <sz val="10"/>
        <rFont val="Arial"/>
        <family val="2"/>
      </rPr>
      <t xml:space="preserve">Water Adjustment </t>
    </r>
    <r>
      <rPr>
        <sz val="10"/>
        <rFont val="Arial"/>
        <family val="2"/>
      </rPr>
      <t xml:space="preserve">sheet, warnings will be displayed on the </t>
    </r>
    <r>
      <rPr>
        <b/>
        <sz val="10"/>
        <rFont val="Arial"/>
        <family val="2"/>
      </rPr>
      <t xml:space="preserve">Water Adjustment </t>
    </r>
    <r>
      <rPr>
        <sz val="10"/>
        <rFont val="Arial"/>
        <family val="2"/>
      </rPr>
      <t>sheet (</t>
    </r>
    <r>
      <rPr>
        <b/>
        <sz val="10"/>
        <color indexed="10"/>
        <rFont val="Arial"/>
        <family val="2"/>
      </rPr>
      <t>red cells</t>
    </r>
    <r>
      <rPr>
        <sz val="10"/>
        <rFont val="Arial"/>
        <family val="2"/>
      </rPr>
      <t>) to alert the brewer of this error. This warning is also displayed if acid malt is included in the grain bill and a base is added to the mashing water.</t>
    </r>
  </si>
  <si>
    <r>
      <t xml:space="preserve">The </t>
    </r>
    <r>
      <rPr>
        <b/>
        <sz val="10"/>
        <rFont val="Arial"/>
        <family val="2"/>
      </rPr>
      <t>Mashing Water Profile</t>
    </r>
    <r>
      <rPr>
        <sz val="10"/>
        <rFont val="Arial"/>
        <family val="2"/>
      </rPr>
      <t xml:space="preserve"> line shows the water profile that will result when the indicated minerals are added or reserved from the mash. Use the </t>
    </r>
    <r>
      <rPr>
        <b/>
        <sz val="10"/>
        <rFont val="Arial"/>
        <family val="2"/>
      </rPr>
      <t>Mashing Water Profile</t>
    </r>
    <r>
      <rPr>
        <sz val="10"/>
        <rFont val="Arial"/>
        <family val="2"/>
      </rPr>
      <t xml:space="preserve"> line to assess if there is enough calcium in the mashing water to precipitate oxalate. </t>
    </r>
    <r>
      <rPr>
        <b/>
        <sz val="10"/>
        <rFont val="Arial"/>
        <family val="2"/>
      </rPr>
      <t>A</t>
    </r>
    <r>
      <rPr>
        <sz val="10"/>
        <rFont val="Arial"/>
        <family val="2"/>
      </rPr>
      <t xml:space="preserve"> </t>
    </r>
    <r>
      <rPr>
        <b/>
        <sz val="10"/>
        <rFont val="Arial"/>
        <family val="2"/>
      </rPr>
      <t>minimum calcium concentration of about 40 ppm is recommended for mashing water</t>
    </r>
    <r>
      <rPr>
        <sz val="10"/>
        <rFont val="Arial"/>
        <family val="2"/>
      </rPr>
      <t xml:space="preserve">. This water profile is automatically entered into the </t>
    </r>
    <r>
      <rPr>
        <b/>
        <sz val="10"/>
        <rFont val="Arial"/>
        <family val="2"/>
      </rPr>
      <t xml:space="preserve">Grain Bill Input </t>
    </r>
    <r>
      <rPr>
        <sz val="10"/>
        <rFont val="Arial"/>
        <family val="2"/>
      </rPr>
      <t>sheet in order to assess the resulting mash pH.</t>
    </r>
  </si>
  <si>
    <r>
      <t xml:space="preserve">The </t>
    </r>
    <r>
      <rPr>
        <b/>
        <sz val="10"/>
        <rFont val="Arial"/>
        <family val="2"/>
      </rPr>
      <t>Water Adjustment</t>
    </r>
    <r>
      <rPr>
        <sz val="10"/>
        <rFont val="Arial"/>
        <family val="2"/>
      </rPr>
      <t xml:space="preserve"> sheet reports the ion concentrations for both Mashing and Finished worts. The </t>
    </r>
    <r>
      <rPr>
        <b/>
        <sz val="10"/>
        <rFont val="Arial"/>
        <family val="2"/>
      </rPr>
      <t>Mashing Water Profile</t>
    </r>
    <r>
      <rPr>
        <sz val="10"/>
        <rFont val="Arial"/>
        <family val="2"/>
      </rPr>
      <t xml:space="preserve"> enables separate monitoring of calcium, magnesium, and bicarbonate levels in the mash that are important for pH and oxalate reduction. The</t>
    </r>
    <r>
      <rPr>
        <b/>
        <sz val="10"/>
        <rFont val="Arial"/>
        <family val="2"/>
      </rPr>
      <t xml:space="preserve"> Finished Water Profile</t>
    </r>
    <r>
      <rPr>
        <sz val="10"/>
        <rFont val="Arial"/>
        <family val="2"/>
      </rPr>
      <t xml:space="preserve"> reports overall ion concentrations in the kettle that are important for yeast flocculation and beer flavor.  </t>
    </r>
  </si>
  <si>
    <r>
      <t xml:space="preserve">The </t>
    </r>
    <r>
      <rPr>
        <b/>
        <sz val="10"/>
        <rFont val="Arial"/>
        <family val="2"/>
      </rPr>
      <t>Finished Water Profile</t>
    </r>
    <r>
      <rPr>
        <sz val="10"/>
        <rFont val="Arial"/>
        <family val="2"/>
      </rPr>
      <t xml:space="preserve"> line shows the water profile that should result in the kettle when you perform the proposed dilution, mineral, or acid additions. Refer to the </t>
    </r>
    <r>
      <rPr>
        <b/>
        <sz val="10"/>
        <rFont val="Arial"/>
        <family val="2"/>
      </rPr>
      <t xml:space="preserve">Finished Water Profile </t>
    </r>
    <r>
      <rPr>
        <sz val="10"/>
        <rFont val="Arial"/>
        <family val="2"/>
      </rPr>
      <t xml:space="preserve">when assessing if flavor ions (Mg, Na, SO4, and Cl) are at desired concentrations. Calcium content in the </t>
    </r>
    <r>
      <rPr>
        <b/>
        <sz val="10"/>
        <rFont val="Arial"/>
        <family val="2"/>
      </rPr>
      <t>Finished Water Profile</t>
    </r>
    <r>
      <rPr>
        <sz val="10"/>
        <rFont val="Arial"/>
        <family val="2"/>
      </rPr>
      <t xml:space="preserve"> should reflect the type of yeast (lager or ale) used in fermentation and the flocculation speed required for beer production (&gt;50 ppm Ca may be desirable for ale brewing and lower Ca content may be desired for lager brewing).</t>
    </r>
  </si>
  <si>
    <r>
      <t xml:space="preserve">All minerals and acids used for water adjustment should be identified as </t>
    </r>
    <r>
      <rPr>
        <b/>
        <sz val="10"/>
        <rFont val="Arial"/>
        <family val="2"/>
      </rPr>
      <t>Food-Grade</t>
    </r>
    <r>
      <rPr>
        <sz val="10"/>
        <rFont val="Arial"/>
        <family val="2"/>
      </rPr>
      <t xml:space="preserve"> chemicals.  This is particularly important for the acids used for water adjustment since acids can easily dissolve and contain heavy metals that are hazardous to health. </t>
    </r>
  </si>
  <si>
    <t>Homebrewers are encouraged to use a scale with an accuracy of at least 0.1 gram to measure mineral additions.  Craftbrewers can use scales with 1 gram accuracy since their batch size is typically larger.  Volume measures such as teaspoon or tablespoon can be significantly less accurate than weight measures for dry mineral additions.  Inexpensive scales with good accuracy are available and recommended.</t>
  </si>
  <si>
    <r>
      <t>The percentage strength of the calcium chloride solution must be entered when "</t>
    </r>
    <r>
      <rPr>
        <b/>
        <sz val="10"/>
        <rFont val="Arial"/>
        <family val="2"/>
      </rPr>
      <t>Liquid</t>
    </r>
    <r>
      <rPr>
        <sz val="10"/>
        <rFont val="Arial"/>
        <family val="2"/>
      </rPr>
      <t xml:space="preserve">" is selected. If the liquid calcium chloride is a commercial solution, enter the % strength quoted for the solution in the </t>
    </r>
    <r>
      <rPr>
        <b/>
        <sz val="10"/>
        <rFont val="Arial"/>
        <family val="2"/>
      </rPr>
      <t>Liquid CaCl</t>
    </r>
    <r>
      <rPr>
        <b/>
        <vertAlign val="subscript"/>
        <sz val="10"/>
        <rFont val="Arial"/>
        <family val="2"/>
      </rPr>
      <t>2</t>
    </r>
    <r>
      <rPr>
        <b/>
        <sz val="10"/>
        <rFont val="Arial"/>
        <family val="2"/>
      </rPr>
      <t xml:space="preserve"> Strength?</t>
    </r>
    <r>
      <rPr>
        <sz val="10"/>
        <rFont val="Arial"/>
        <family val="2"/>
      </rPr>
      <t xml:space="preserve"> cell. For example, enter </t>
    </r>
    <r>
      <rPr>
        <b/>
        <sz val="10"/>
        <rFont val="Arial"/>
        <family val="2"/>
      </rPr>
      <t xml:space="preserve">10 </t>
    </r>
    <r>
      <rPr>
        <sz val="10"/>
        <rFont val="Arial"/>
        <family val="2"/>
      </rPr>
      <t xml:space="preserve">for a </t>
    </r>
    <r>
      <rPr>
        <b/>
        <sz val="10"/>
        <rFont val="Arial"/>
        <family val="2"/>
      </rPr>
      <t>10 percent</t>
    </r>
    <r>
      <rPr>
        <sz val="10"/>
        <rFont val="Arial"/>
        <family val="2"/>
      </rPr>
      <t xml:space="preserve"> solution, </t>
    </r>
    <r>
      <rPr>
        <b/>
        <sz val="10"/>
        <rFont val="Arial"/>
        <family val="2"/>
      </rPr>
      <t>not 0.10</t>
    </r>
    <r>
      <rPr>
        <sz val="10"/>
        <rFont val="Arial"/>
        <family val="2"/>
      </rPr>
      <t>. If the liquid is prepared in the brewery from solid calcium chloride and distilled water, the strength of the solution can be assessed by measuring its specific gravity. Use either a hydrometer or measure the mass of a precise volume of the solution to determine the solution's specific gravity. For example, 120 gram mass measured for a volume of 100 mL indicates a specific gravity of 1.200 (=120g/100mL). Enter that specific gravity value into the</t>
    </r>
    <r>
      <rPr>
        <b/>
        <sz val="10"/>
        <rFont val="Arial"/>
        <family val="2"/>
      </rPr>
      <t xml:space="preserve"> CaCl</t>
    </r>
    <r>
      <rPr>
        <b/>
        <vertAlign val="subscript"/>
        <sz val="10"/>
        <rFont val="Arial"/>
        <family val="2"/>
      </rPr>
      <t>2</t>
    </r>
    <r>
      <rPr>
        <b/>
        <sz val="10"/>
        <rFont val="Arial"/>
        <family val="2"/>
      </rPr>
      <t xml:space="preserve"> Solution Strength calculator </t>
    </r>
    <r>
      <rPr>
        <sz val="10"/>
        <rFont val="Arial"/>
        <family val="2"/>
      </rPr>
      <t>adjacent to the "</t>
    </r>
    <r>
      <rPr>
        <b/>
        <sz val="10"/>
        <rFont val="Arial"/>
        <family val="2"/>
      </rPr>
      <t xml:space="preserve">Solution S.G." </t>
    </r>
    <r>
      <rPr>
        <sz val="10"/>
        <rFont val="Arial"/>
        <family val="2"/>
      </rPr>
      <t xml:space="preserve">cell. The strength calculator converts the specific gravity measurement into the solution's </t>
    </r>
    <r>
      <rPr>
        <b/>
        <sz val="10"/>
        <rFont val="Arial"/>
        <family val="2"/>
      </rPr>
      <t xml:space="preserve">(% w/w) </t>
    </r>
    <r>
      <rPr>
        <sz val="10"/>
        <rFont val="Arial"/>
        <family val="2"/>
      </rPr>
      <t xml:space="preserve">strength. Enter the </t>
    </r>
    <r>
      <rPr>
        <b/>
        <sz val="10"/>
        <rFont val="Arial"/>
        <family val="2"/>
      </rPr>
      <t>% w/w</t>
    </r>
    <r>
      <rPr>
        <sz val="10"/>
        <rFont val="Arial"/>
        <family val="2"/>
      </rPr>
      <t xml:space="preserve"> Strength result in the </t>
    </r>
    <r>
      <rPr>
        <b/>
        <sz val="10"/>
        <rFont val="Arial"/>
        <family val="2"/>
      </rPr>
      <t>Liquid CaCl</t>
    </r>
    <r>
      <rPr>
        <b/>
        <vertAlign val="subscript"/>
        <sz val="10"/>
        <rFont val="Arial"/>
        <family val="2"/>
      </rPr>
      <t>2</t>
    </r>
    <r>
      <rPr>
        <b/>
        <sz val="10"/>
        <rFont val="Arial"/>
        <family val="2"/>
      </rPr>
      <t xml:space="preserve"> Strength?</t>
    </r>
    <r>
      <rPr>
        <sz val="10"/>
        <rFont val="Arial"/>
        <family val="2"/>
      </rPr>
      <t xml:space="preserve"> cell.</t>
    </r>
  </si>
  <si>
    <r>
      <t xml:space="preserve">All </t>
    </r>
    <r>
      <rPr>
        <b/>
        <sz val="10"/>
        <rFont val="Arial"/>
        <family val="2"/>
      </rPr>
      <t>Mash Water</t>
    </r>
    <r>
      <rPr>
        <sz val="10"/>
        <rFont val="Arial"/>
        <family val="2"/>
      </rPr>
      <t xml:space="preserve"> mineral and acid additions are typically added to the mash in order to create the desired water profile and produce the desired mash pH.  These additions are not typically added directly to the boil kettle except when the hardening the mash water will increase the need for alkalinity in the mash water.  If the mash pH calculations indicate that additional alkalinity is required, the brewer may consider adding hardening minerals such as gypsum, calcium chloride, and epsom salt directly to the kettle to avoid hardening the water and reducing RA (see </t>
    </r>
    <r>
      <rPr>
        <b/>
        <sz val="10"/>
        <rFont val="Arial"/>
        <family val="2"/>
      </rPr>
      <t>Add Hardness Minerals directly to Kettle</t>
    </r>
    <r>
      <rPr>
        <sz val="10"/>
        <rFont val="Arial"/>
        <family val="2"/>
      </rPr>
      <t xml:space="preserve"> above). </t>
    </r>
  </si>
  <si>
    <r>
      <rPr>
        <b/>
        <sz val="10"/>
        <rFont val="Arial"/>
        <family val="2"/>
      </rPr>
      <t>Sparging Water</t>
    </r>
    <r>
      <rPr>
        <sz val="10"/>
        <rFont val="Arial"/>
        <family val="2"/>
      </rPr>
      <t xml:space="preserve"> mineral additions can be added directly to the Sparging Water or can be reserved and added directly to the boil kettle.  Acid additions calculated for the Sparging Water must be added to the Sparging Water to reduce its alkalinity prior to use.  If CRS, Hydrochloric, or Sulfuric acids are used to acidify the sparging water, their chloride or sulfate ion contributions are included in the overall ionic concentrations computed by </t>
    </r>
    <r>
      <rPr>
        <b/>
        <sz val="10"/>
        <rFont val="Arial"/>
        <family val="2"/>
      </rPr>
      <t>Bru'n Water</t>
    </r>
    <r>
      <rPr>
        <sz val="10"/>
        <rFont val="Arial"/>
        <family val="2"/>
      </rPr>
      <t>.</t>
    </r>
  </si>
  <si>
    <r>
      <t xml:space="preserve">The concentration of other acid anions are also calculated for mash acid additions. The concentrations may be over the acid's taste threshold in the mash, but dilution with the sparging water may reduce those concentrations. Refer to the </t>
    </r>
    <r>
      <rPr>
        <b/>
        <sz val="10"/>
        <rFont val="Arial"/>
        <family val="2"/>
      </rPr>
      <t>Adjustment Summary</t>
    </r>
    <r>
      <rPr>
        <sz val="10"/>
        <rFont val="Arial"/>
        <family val="2"/>
      </rPr>
      <t xml:space="preserve"> sheet to determine if any of the anions are over their taste thresholds. The brewer may elect to reduce the amount of over-limit anions or change to another acid. </t>
    </r>
  </si>
  <si>
    <r>
      <t xml:space="preserve">Proceed to the </t>
    </r>
    <r>
      <rPr>
        <b/>
        <sz val="10"/>
        <rFont val="Arial"/>
        <family val="2"/>
      </rPr>
      <t>Adjustment Summary</t>
    </r>
    <r>
      <rPr>
        <sz val="10"/>
        <rFont val="Arial"/>
        <family val="2"/>
      </rPr>
      <t xml:space="preserve"> sheet to review the final water adjustment results.</t>
    </r>
  </si>
  <si>
    <t>Brewers using Malt Extract for their brewing can still benefit from Water Adjustments.  This is particularly true when using either highly mineralized or alkaline water or when using RO or Distilled Water.  Best results for Extract Brewers will typically be achieved by using water with very low mineralization.  If desired for flavor purposes, small additions of either gypsum or calcium chloride can be added to the water for flavor purposes.  Its recommended that no more than 50 ppm chloride be added to low mineralized water when creating malty styles and no more than about 150 ppm sulfate be added to low mineralized water when brewing hoppy styles since the extract typically provides some mineralization to the water.</t>
  </si>
  <si>
    <r>
      <t xml:space="preserve">When using highly mineralized or alkaline water, the water can impart poor flavor to the beer.  Using highly alkaline water may increase the pH of the resulting wort and create a coarser and rougher flavored beer.  If the water has high ion concentrations, dilution with RO or Distilled Water may be appropriate.  The brewer should know what is in their tap water prior to contemplating mineral additions.  The </t>
    </r>
    <r>
      <rPr>
        <b/>
        <sz val="10"/>
        <rFont val="Arial"/>
        <family val="2"/>
      </rPr>
      <t>Dilution Calculator</t>
    </r>
    <r>
      <rPr>
        <sz val="10"/>
        <rFont val="Arial"/>
        <family val="2"/>
      </rPr>
      <t xml:space="preserve"> on the </t>
    </r>
    <r>
      <rPr>
        <b/>
        <sz val="10"/>
        <rFont val="Arial"/>
        <family val="2"/>
      </rPr>
      <t>Water Adjustment</t>
    </r>
    <r>
      <rPr>
        <sz val="10"/>
        <rFont val="Arial"/>
        <family val="2"/>
      </rPr>
      <t xml:space="preserve"> sheet can help the brewer assess how much dilution will be needed to produce a desirable water profile.  If the water has high alkalinity, the </t>
    </r>
    <r>
      <rPr>
        <b/>
        <sz val="10"/>
        <rFont val="Arial"/>
        <family val="2"/>
      </rPr>
      <t>Sparge Water Acidification Calculator</t>
    </r>
    <r>
      <rPr>
        <sz val="10"/>
        <rFont val="Arial"/>
        <family val="2"/>
      </rPr>
      <t xml:space="preserve"> can be used to reduce water alkalinity to under 50 ppm which should allow the wort and resulting beer to reach desirable pH.  The Water Profiles on the </t>
    </r>
    <r>
      <rPr>
        <b/>
        <sz val="10"/>
        <rFont val="Arial"/>
        <family val="2"/>
      </rPr>
      <t>Water Adjustment</t>
    </r>
    <r>
      <rPr>
        <sz val="10"/>
        <rFont val="Arial"/>
        <family val="2"/>
      </rPr>
      <t xml:space="preserve"> sheet are appropriate goals for Extract Brewers.</t>
    </r>
  </si>
  <si>
    <r>
      <t xml:space="preserve">When brewing with RO or Distilled Water and Malt Extracts, the extract should provide most of the minerals needed for proper fermentation performance.  Although the ion content in the Malt Extract is typically low to moderate, some extract products may have high content.  Be aware that Briess malt extracts have high sodium content (about 100 ppm Na in a wort reconstituted to 1.045 gravity, 200 ppm @ 1.089).  If the brewer desires a specific flavor profile, additional sodium-, sulfate- or chloride-containing minerals can be added to the brewing water.  The </t>
    </r>
    <r>
      <rPr>
        <b/>
        <sz val="10"/>
        <rFont val="Arial"/>
        <family val="2"/>
      </rPr>
      <t>Water Adjustment</t>
    </r>
    <r>
      <rPr>
        <sz val="10"/>
        <rFont val="Arial"/>
        <family val="2"/>
      </rPr>
      <t xml:space="preserve"> sheet can help the brewer assess how much of these minerals should be added to the brewing water.   </t>
    </r>
  </si>
  <si>
    <r>
      <t xml:space="preserve">Recommended ranges for the various ions are shown on the sheet to provide the brewer with a quick check of their proposed brewing water profile.  The brewer's identifier or batch name is shown at the top of the sheet.  The </t>
    </r>
    <r>
      <rPr>
        <b/>
        <sz val="10"/>
        <rFont val="Arial"/>
        <family val="2"/>
      </rPr>
      <t>Water Profile</t>
    </r>
    <r>
      <rPr>
        <sz val="10"/>
        <rFont val="Arial"/>
        <family val="2"/>
      </rPr>
      <t xml:space="preserve"> name selected on the </t>
    </r>
    <r>
      <rPr>
        <b/>
        <sz val="10"/>
        <rFont val="Arial"/>
        <family val="2"/>
      </rPr>
      <t>Water Adjustment</t>
    </r>
    <r>
      <rPr>
        <sz val="10"/>
        <rFont val="Arial"/>
        <family val="2"/>
      </rPr>
      <t xml:space="preserve"> sheet is shown on the summary sheet for reference.  All of the information shown on the </t>
    </r>
    <r>
      <rPr>
        <b/>
        <sz val="10"/>
        <rFont val="Arial"/>
        <family val="2"/>
      </rPr>
      <t>Adjustment Summary</t>
    </r>
    <r>
      <rPr>
        <sz val="10"/>
        <rFont val="Arial"/>
        <family val="2"/>
      </rPr>
      <t xml:space="preserve"> is input or calculated on the other sheets within </t>
    </r>
    <r>
      <rPr>
        <b/>
        <sz val="10"/>
        <rFont val="Arial"/>
        <family val="2"/>
      </rPr>
      <t>Bru'n Water</t>
    </r>
    <r>
      <rPr>
        <sz val="10"/>
        <rFont val="Arial"/>
        <family val="2"/>
      </rPr>
      <t xml:space="preserve">.  No inputs are performed on the </t>
    </r>
    <r>
      <rPr>
        <b/>
        <sz val="10"/>
        <rFont val="Arial"/>
        <family val="2"/>
      </rPr>
      <t>Adjustment Summary</t>
    </r>
    <r>
      <rPr>
        <sz val="10"/>
        <rFont val="Arial"/>
        <family val="2"/>
      </rPr>
      <t xml:space="preserve"> sheet.  Be sure that water volumes are properly entered on the </t>
    </r>
    <r>
      <rPr>
        <b/>
        <sz val="10"/>
        <rFont val="Arial"/>
        <family val="2"/>
      </rPr>
      <t>Sparge Acidification</t>
    </r>
    <r>
      <rPr>
        <sz val="10"/>
        <rFont val="Arial"/>
        <family val="2"/>
      </rPr>
      <t xml:space="preserve"> and </t>
    </r>
    <r>
      <rPr>
        <b/>
        <sz val="10"/>
        <rFont val="Arial"/>
        <family val="2"/>
      </rPr>
      <t>Water Adjustment</t>
    </r>
    <r>
      <rPr>
        <sz val="10"/>
        <rFont val="Arial"/>
        <family val="2"/>
      </rPr>
      <t xml:space="preserve"> sheets.  The water volume input on the </t>
    </r>
    <r>
      <rPr>
        <b/>
        <sz val="10"/>
        <rFont val="Arial"/>
        <family val="2"/>
      </rPr>
      <t>Sparge Acidification</t>
    </r>
    <r>
      <rPr>
        <sz val="10"/>
        <rFont val="Arial"/>
        <family val="2"/>
      </rPr>
      <t xml:space="preserve"> sheet can be entered as either the unit (1) volume or the total sparge volume.  The water volumes input on the </t>
    </r>
    <r>
      <rPr>
        <b/>
        <sz val="10"/>
        <rFont val="Arial"/>
        <family val="2"/>
      </rPr>
      <t>Water Adjustment</t>
    </r>
    <r>
      <rPr>
        <sz val="10"/>
        <rFont val="Arial"/>
        <family val="2"/>
      </rPr>
      <t xml:space="preserve"> sheet should reflect the total volumes of water to be used for mashing and for sparging. </t>
    </r>
  </si>
  <si>
    <r>
      <t xml:space="preserve">The volumes of dilution water for both the mashing and sparging are shown on the </t>
    </r>
    <r>
      <rPr>
        <b/>
        <sz val="10"/>
        <rFont val="Arial"/>
        <family val="2"/>
      </rPr>
      <t xml:space="preserve">Adjustment Summary </t>
    </r>
    <r>
      <rPr>
        <sz val="10"/>
        <rFont val="Arial"/>
        <family val="2"/>
      </rPr>
      <t xml:space="preserve">sheet.  The </t>
    </r>
    <r>
      <rPr>
        <b/>
        <sz val="10"/>
        <rFont val="Arial"/>
        <family val="2"/>
      </rPr>
      <t>Dilution Water</t>
    </r>
    <r>
      <rPr>
        <sz val="10"/>
        <rFont val="Arial"/>
        <family val="2"/>
      </rPr>
      <t xml:space="preserve"> volume is calculated from the dilution percentages input for the mashing and sparge water adjustments and the total mashing and sparging water volumes.  The </t>
    </r>
    <r>
      <rPr>
        <b/>
        <sz val="10"/>
        <rFont val="Arial"/>
        <family val="2"/>
      </rPr>
      <t>Total Water</t>
    </r>
    <r>
      <rPr>
        <sz val="10"/>
        <rFont val="Arial"/>
        <family val="2"/>
      </rPr>
      <t xml:space="preserve"> volumes are equal to </t>
    </r>
    <r>
      <rPr>
        <b/>
        <sz val="10"/>
        <rFont val="Arial"/>
        <family val="2"/>
      </rPr>
      <t>Dilution Water</t>
    </r>
    <r>
      <rPr>
        <sz val="10"/>
        <rFont val="Arial"/>
        <family val="2"/>
      </rPr>
      <t xml:space="preserve"> volume plus </t>
    </r>
    <r>
      <rPr>
        <b/>
        <sz val="10"/>
        <rFont val="Arial"/>
        <family val="2"/>
      </rPr>
      <t>Tap Water</t>
    </r>
    <r>
      <rPr>
        <sz val="10"/>
        <rFont val="Arial"/>
        <family val="2"/>
      </rPr>
      <t xml:space="preserve"> volume.  A suggested approach is to add the </t>
    </r>
    <r>
      <rPr>
        <b/>
        <sz val="10"/>
        <rFont val="Arial"/>
        <family val="2"/>
      </rPr>
      <t>Dilution Water</t>
    </r>
    <r>
      <rPr>
        <sz val="10"/>
        <rFont val="Arial"/>
        <family val="2"/>
      </rPr>
      <t xml:space="preserve"> volume to the vessel and then add </t>
    </r>
    <r>
      <rPr>
        <b/>
        <sz val="10"/>
        <rFont val="Arial"/>
        <family val="2"/>
      </rPr>
      <t xml:space="preserve">Tap Water </t>
    </r>
    <r>
      <rPr>
        <sz val="10"/>
        <rFont val="Arial"/>
        <family val="2"/>
      </rPr>
      <t xml:space="preserve">to reach the desired </t>
    </r>
    <r>
      <rPr>
        <b/>
        <sz val="10"/>
        <rFont val="Arial"/>
        <family val="2"/>
      </rPr>
      <t xml:space="preserve">Total Water </t>
    </r>
    <r>
      <rPr>
        <sz val="10"/>
        <rFont val="Arial"/>
        <family val="2"/>
      </rPr>
      <t>volume.</t>
    </r>
  </si>
  <si>
    <r>
      <t xml:space="preserve">The acids used for both sparging and mashing are shown on the </t>
    </r>
    <r>
      <rPr>
        <b/>
        <sz val="10"/>
        <rFont val="Arial"/>
        <family val="2"/>
      </rPr>
      <t>Adjustment Summary</t>
    </r>
    <r>
      <rPr>
        <sz val="10"/>
        <rFont val="Arial"/>
        <family val="2"/>
      </rPr>
      <t xml:space="preserve">. The cells may be blank if no acids were selected or used on the </t>
    </r>
    <r>
      <rPr>
        <b/>
        <sz val="10"/>
        <rFont val="Arial"/>
        <family val="2"/>
      </rPr>
      <t xml:space="preserve">Sparge Acidification </t>
    </r>
    <r>
      <rPr>
        <sz val="10"/>
        <rFont val="Arial"/>
        <family val="2"/>
      </rPr>
      <t xml:space="preserve">and </t>
    </r>
    <r>
      <rPr>
        <b/>
        <sz val="10"/>
        <rFont val="Arial"/>
        <family val="2"/>
      </rPr>
      <t>Water Adjustment</t>
    </r>
    <r>
      <rPr>
        <sz val="10"/>
        <rFont val="Arial"/>
        <family val="2"/>
      </rPr>
      <t xml:space="preserve"> sheets. The anion concentrations in the </t>
    </r>
    <r>
      <rPr>
        <b/>
        <sz val="10"/>
        <rFont val="Arial"/>
        <family val="2"/>
      </rPr>
      <t xml:space="preserve">Finished Water </t>
    </r>
    <r>
      <rPr>
        <sz val="10"/>
        <rFont val="Arial"/>
        <family val="2"/>
      </rPr>
      <t xml:space="preserve">due to all mashing and sparging acid additions are shown on the </t>
    </r>
    <r>
      <rPr>
        <b/>
        <sz val="10"/>
        <rFont val="Arial"/>
        <family val="2"/>
      </rPr>
      <t>Adjustment Summary</t>
    </r>
    <r>
      <rPr>
        <sz val="10"/>
        <rFont val="Arial"/>
        <family val="2"/>
      </rPr>
      <t xml:space="preserve">. A text indicator for each acid anion shows if the anion is expected to be over or under its taste threshold.  </t>
    </r>
  </si>
  <si>
    <r>
      <t xml:space="preserve">Since this program is not freeware, copies of this program cannot be shared with others.  Therefore, a </t>
    </r>
    <r>
      <rPr>
        <b/>
        <sz val="10"/>
        <rFont val="Arial"/>
        <family val="2"/>
      </rPr>
      <t xml:space="preserve">Raw Text Summary </t>
    </r>
    <r>
      <rPr>
        <sz val="10"/>
        <rFont val="Arial"/>
        <family val="2"/>
      </rPr>
      <t xml:space="preserve">sheet is provided to enable the brewer to convey their brewing water information to others.  By copying the information in the cells highlighted in </t>
    </r>
    <r>
      <rPr>
        <b/>
        <sz val="10"/>
        <color indexed="63"/>
        <rFont val="Arial"/>
        <family val="2"/>
      </rPr>
      <t>GRAY</t>
    </r>
    <r>
      <rPr>
        <sz val="10"/>
        <rFont val="Arial"/>
        <family val="2"/>
      </rPr>
      <t xml:space="preserve"> cells on the </t>
    </r>
    <r>
      <rPr>
        <b/>
        <sz val="10"/>
        <rFont val="Arial"/>
        <family val="2"/>
      </rPr>
      <t>Raw Text Summary</t>
    </r>
    <r>
      <rPr>
        <sz val="10"/>
        <rFont val="Arial"/>
        <family val="2"/>
      </rPr>
      <t xml:space="preserve"> sheet, the brewer can easily paste that information in emails, webpages, brewing logs, or into notes in typical brewing software such as ProMash or Beersmith.  The formatting of the information on that sheet will typically produce uniform columns when pasted as TEXT.  </t>
    </r>
  </si>
  <si>
    <t xml:space="preserve">Percent Dilution Water  </t>
  </si>
  <si>
    <t>Percent Dilution Water</t>
  </si>
  <si>
    <t>Add Hardness Minerals to Kettle?</t>
  </si>
  <si>
    <r>
      <t xml:space="preserve">Brewers should use caution in the use of historical water profiles.  Although the water profiles are accurate, that does not mean that the brewers in those locations used that water without modification.  For example, brewers performed operations such as Decarbonation by Boiling to reduce hardness and alkalinity and used acid rests and saurermalt (acid malt) or saurergut (soured wort) to reduce high alkalinity.  Profiles with high bicarbonate concentrations are likely to have been treated by those means prior to mashing when light-colored beers were brewed.  </t>
    </r>
    <r>
      <rPr>
        <b/>
        <sz val="10"/>
        <rFont val="Arial"/>
        <family val="2"/>
      </rPr>
      <t xml:space="preserve">Brewers should approach these profiles with a focus on the mash pH they produce with their proposed grain bill and be ready to adjust the mashing water alkalinity if the water does not produce a desirable mash pH. </t>
    </r>
  </si>
  <si>
    <r>
      <t>CaCl</t>
    </r>
    <r>
      <rPr>
        <b/>
        <u/>
        <vertAlign val="subscript"/>
        <sz val="8"/>
        <rFont val="Arial"/>
        <family val="2"/>
      </rPr>
      <t>2</t>
    </r>
    <r>
      <rPr>
        <b/>
        <u/>
        <sz val="8"/>
        <rFont val="Arial"/>
        <family val="2"/>
      </rPr>
      <t xml:space="preserve"> Solution Strength Calculator</t>
    </r>
  </si>
  <si>
    <t>-</t>
  </si>
  <si>
    <r>
      <t xml:space="preserve">Most mineral additions should be added to both the mash water and sparge water.  DO NOT add alkalinity producing minerals such as chalk, baking soda, or pickling lime to sparge water since that counteracts the desired sparge water acidification.  Either reserve those minerals from the sparge water and add directly to the kettle, or delete them and substitute other calcium or sodium containing minerals to make up for their contributions.  Do not use the acid amount calculated for Mash Adjustment from this sheet for the Sparge Water adjustment.  Use the acid amount calculated on the Sparge Acidification sheet for Sparge Water.  </t>
    </r>
    <r>
      <rPr>
        <b/>
        <sz val="8"/>
        <rFont val="Arial"/>
        <family val="2"/>
      </rPr>
      <t>For best result, add acids prior to heating the water since heating can drive off a portion of the alkalinity that the acid addition was calculated to remove.</t>
    </r>
  </si>
  <si>
    <t>SO4/Cl Ratio</t>
  </si>
  <si>
    <t>Water Adjustments</t>
  </si>
  <si>
    <r>
      <t xml:space="preserve">A warning flag is shown on the sheet if the difference in ion totals is not close.  The </t>
    </r>
    <r>
      <rPr>
        <b/>
        <sz val="10"/>
        <rFont val="Arial"/>
        <family val="2"/>
      </rPr>
      <t xml:space="preserve">Cation/Anion Difference </t>
    </r>
    <r>
      <rPr>
        <sz val="10"/>
        <rFont val="Arial"/>
        <family val="2"/>
      </rPr>
      <t xml:space="preserve">cell will turn </t>
    </r>
    <r>
      <rPr>
        <b/>
        <sz val="10"/>
        <color indexed="17"/>
        <rFont val="Arial"/>
        <family val="2"/>
      </rPr>
      <t>GREEN</t>
    </r>
    <r>
      <rPr>
        <sz val="10"/>
        <color indexed="17"/>
        <rFont val="Arial"/>
        <family val="2"/>
      </rPr>
      <t xml:space="preserve"> </t>
    </r>
    <r>
      <rPr>
        <sz val="10"/>
        <rFont val="Arial"/>
        <family val="2"/>
      </rPr>
      <t xml:space="preserve">when the difference is less that 0.1 meq/L.  The cell will turn </t>
    </r>
    <r>
      <rPr>
        <b/>
        <sz val="10"/>
        <color indexed="50"/>
        <rFont val="Arial"/>
        <family val="2"/>
      </rPr>
      <t>LIGHT GREEN</t>
    </r>
    <r>
      <rPr>
        <sz val="10"/>
        <rFont val="Arial"/>
        <family val="2"/>
      </rPr>
      <t xml:space="preserve"> when the ion difference is between 0.1 and 0.5 meq/L.  Double check your inputs or question the water report results with the water company or testing lab if the ion difference is greater than 0.5 meq/L.</t>
    </r>
  </si>
  <si>
    <t>Mash pH may be checked about 5 minutes after combining the water and grist.  But for more accurate results, the mash pH should be checked at around 10 to 15 minutes after combining the water and grist.   Note: pH strips reportedly indicate the mash pH is about 0.2 to 0.3 units lower than actual.  Therefore, accept a LOWER pH when measuring with strips.  A calibrated pH meter is the recommended and preferred measurement device.  Always check wort pH in room-temperature samples.</t>
  </si>
  <si>
    <r>
      <t xml:space="preserve">If the </t>
    </r>
    <r>
      <rPr>
        <b/>
        <sz val="10"/>
        <rFont val="Arial"/>
        <family val="2"/>
      </rPr>
      <t>Diluted Water Alkalinity</t>
    </r>
    <r>
      <rPr>
        <sz val="10"/>
        <rFont val="Arial"/>
        <family val="2"/>
      </rPr>
      <t xml:space="preserve"> is less than 25 ppm, then it may not be necessary to acidify the diluted sparging water.  </t>
    </r>
  </si>
  <si>
    <r>
      <t xml:space="preserve">The brewer should typically start with a water profile that agrees with their intended beer color.  If brewing a lighter colored beer and the brewer wants to use a historic water profile, select the "boiled" version of the historic profile to avoid excessive alkalinity.  Water profiles should be considered approximate.  Variation of the water profile to meet the brewer's taste is acceptable and recommended.   It may be necessary to revise the selected mineral profile if the proposed grain bill and water profile do not produce a desirable mash pH.  </t>
    </r>
    <r>
      <rPr>
        <b/>
        <sz val="10"/>
        <rFont val="Arial"/>
        <family val="2"/>
      </rPr>
      <t>WHEN THE MASH pH DOES NOT FALL WITHIN A DESIRABLE RANGE, ADJUST THE PROFILE'S ALKALINITY AWAY FROM THE TARGET VALUE</t>
    </r>
    <r>
      <rPr>
        <sz val="10"/>
        <rFont val="Arial"/>
        <family val="2"/>
      </rPr>
      <t xml:space="preserve">. In most cases, it is also acceptable to let the calcium content vary from the profile's target value. The only recommendation for calcium content is to have </t>
    </r>
    <r>
      <rPr>
        <b/>
        <sz val="10"/>
        <rFont val="Arial"/>
        <family val="2"/>
      </rPr>
      <t>at least 40 ppm in the mash</t>
    </r>
    <r>
      <rPr>
        <sz val="10"/>
        <rFont val="Arial"/>
        <family val="2"/>
      </rPr>
      <t xml:space="preserve"> to precipitate oxalate. Since the water profiles do not consider what the actual grist used was or what the brewers in that historic brewing location had to do to use their water (acid rest, boiling, etc.), the brewer should rely more on the pH result rather than the ionic content recommended by the water profile.   An appropriate mash pH result is the brewer's primary goal.</t>
    </r>
  </si>
  <si>
    <r>
      <rPr>
        <b/>
        <sz val="10"/>
        <rFont val="Arial"/>
        <family val="2"/>
      </rPr>
      <t xml:space="preserve">Dilution: </t>
    </r>
    <r>
      <rPr>
        <sz val="10"/>
        <rFont val="Arial"/>
        <family val="2"/>
      </rPr>
      <t xml:space="preserve">If dilution is desired, select the type of dilution water from the drop-down box and dial up the percentage of dilution water added to the existing water until the </t>
    </r>
    <r>
      <rPr>
        <b/>
        <sz val="10"/>
        <color indexed="10"/>
        <rFont val="Arial"/>
        <family val="2"/>
      </rPr>
      <t>RED</t>
    </r>
    <r>
      <rPr>
        <b/>
        <sz val="10"/>
        <rFont val="Arial"/>
        <family val="2"/>
      </rPr>
      <t xml:space="preserve"> </t>
    </r>
    <r>
      <rPr>
        <sz val="10"/>
        <rFont val="Arial"/>
        <family val="2"/>
      </rPr>
      <t xml:space="preserve">cells in the </t>
    </r>
    <r>
      <rPr>
        <b/>
        <sz val="10"/>
        <rFont val="Arial"/>
        <family val="2"/>
      </rPr>
      <t>Target Water Adjustment</t>
    </r>
    <r>
      <rPr>
        <sz val="10"/>
        <rFont val="Arial"/>
        <family val="2"/>
      </rPr>
      <t xml:space="preserve"> line return to </t>
    </r>
    <r>
      <rPr>
        <b/>
        <sz val="10"/>
        <color indexed="51"/>
        <rFont val="Arial"/>
        <family val="2"/>
      </rPr>
      <t>YELLOW</t>
    </r>
    <r>
      <rPr>
        <sz val="10"/>
        <rFont val="Arial"/>
        <family val="2"/>
      </rPr>
      <t xml:space="preserve"> color.  Dilution water must have low ionic content in order to be effective. Water such Distilled and RO water are potential resources. Distilled water is typically available in bottles or jugs and it typically contains virtually no ionic content.  RO is produced by specialized apparatus that is available in residential and industrial sizes. Commercial water vending machines such as those in grocery stores typically provide RO water.  RO water does contain low concentrations of ions.  A typical RO water profile is included in </t>
    </r>
    <r>
      <rPr>
        <b/>
        <sz val="10"/>
        <rFont val="Arial"/>
        <family val="2"/>
      </rPr>
      <t>Bru'n Water</t>
    </r>
    <r>
      <rPr>
        <sz val="10"/>
        <rFont val="Arial"/>
        <family val="2"/>
      </rPr>
      <t xml:space="preserve">.  That RO profile can be adjusted to reflect the brewer's RO water quality at the bottom of the water profile table.   </t>
    </r>
  </si>
  <si>
    <r>
      <rPr>
        <b/>
        <sz val="10"/>
        <rFont val="Arial"/>
        <family val="2"/>
      </rPr>
      <t>Entering or Revising Water Profiles</t>
    </r>
    <r>
      <rPr>
        <sz val="10"/>
        <rFont val="Arial"/>
        <family val="2"/>
      </rPr>
      <t xml:space="preserve">: Any of the water profiles included in </t>
    </r>
    <r>
      <rPr>
        <b/>
        <sz val="10"/>
        <rFont val="Arial"/>
        <family val="2"/>
      </rPr>
      <t>Bru'n Water</t>
    </r>
    <r>
      <rPr>
        <sz val="10"/>
        <rFont val="Arial"/>
        <family val="2"/>
      </rPr>
      <t xml:space="preserve"> can be altered to fit the brewer's taste. Go to the table at the bottom of the Water Adjustment sheet and revise the existing data and names, as desired. The profiles for Distilled and RO water can also be adjusted as desired.</t>
    </r>
  </si>
  <si>
    <r>
      <t>If only the bicarbonate (HCO</t>
    </r>
    <r>
      <rPr>
        <vertAlign val="subscript"/>
        <sz val="10"/>
        <rFont val="Arial"/>
        <family val="2"/>
      </rPr>
      <t>3</t>
    </r>
    <r>
      <rPr>
        <sz val="10"/>
        <rFont val="Arial"/>
        <family val="2"/>
      </rPr>
      <t xml:space="preserve">) concentration of the water supply is too high and the other ions are not too high, then acidification may be preferred for bicarbonate reduction instead of dilution.  An </t>
    </r>
    <r>
      <rPr>
        <b/>
        <sz val="10"/>
        <rFont val="Arial"/>
        <family val="2"/>
      </rPr>
      <t xml:space="preserve">Acid Addition </t>
    </r>
    <r>
      <rPr>
        <sz val="10"/>
        <rFont val="Arial"/>
        <family val="2"/>
      </rPr>
      <t xml:space="preserve">calculator is provided at the bottom of the </t>
    </r>
    <r>
      <rPr>
        <b/>
        <sz val="10"/>
        <rFont val="Arial"/>
        <family val="2"/>
      </rPr>
      <t>Water Additions</t>
    </r>
    <r>
      <rPr>
        <sz val="10"/>
        <rFont val="Arial"/>
        <family val="2"/>
      </rPr>
      <t xml:space="preserve"> section that shows the bicarbonate reduction provided by acid addition.  Two different acids can be selected on the </t>
    </r>
    <r>
      <rPr>
        <b/>
        <sz val="10"/>
        <rFont val="Arial"/>
        <family val="2"/>
      </rPr>
      <t>Water Adjustment</t>
    </r>
    <r>
      <rPr>
        <sz val="10"/>
        <rFont val="Arial"/>
        <family val="2"/>
      </rPr>
      <t xml:space="preserve"> sheet. The acid type, form, and strength parameters are entered on the </t>
    </r>
    <r>
      <rPr>
        <b/>
        <sz val="10"/>
        <rFont val="Arial"/>
        <family val="2"/>
      </rPr>
      <t>Water Adjustment</t>
    </r>
    <r>
      <rPr>
        <sz val="10"/>
        <rFont val="Arial"/>
        <family val="2"/>
      </rPr>
      <t xml:space="preserve"> sheet. If preferred, a single acid can be used. The </t>
    </r>
    <r>
      <rPr>
        <b/>
        <sz val="10"/>
        <rFont val="Arial"/>
        <family val="2"/>
      </rPr>
      <t>Acid Addition</t>
    </r>
    <r>
      <rPr>
        <sz val="10"/>
        <rFont val="Arial"/>
        <family val="2"/>
      </rPr>
      <t xml:space="preserve"> calculator indicates the bicarbonate consumed (-HCO</t>
    </r>
    <r>
      <rPr>
        <vertAlign val="subscript"/>
        <sz val="10"/>
        <rFont val="Arial"/>
        <family val="2"/>
      </rPr>
      <t>3</t>
    </r>
    <r>
      <rPr>
        <sz val="10"/>
        <rFont val="Arial"/>
        <family val="2"/>
      </rPr>
      <t xml:space="preserve">) by the acid addition.  It also indicates the sulfate added when using Sulfuric Acid or the chloride added when using Hydrochloric Acid.  These ion additions are included in the </t>
    </r>
    <r>
      <rPr>
        <b/>
        <sz val="10"/>
        <rFont val="Arial"/>
        <family val="2"/>
      </rPr>
      <t>Actual Water Adjustment</t>
    </r>
    <r>
      <rPr>
        <sz val="10"/>
        <rFont val="Arial"/>
        <family val="2"/>
      </rPr>
      <t xml:space="preserve">.  </t>
    </r>
  </si>
  <si>
    <r>
      <rPr>
        <b/>
        <sz val="10"/>
        <rFont val="Arial"/>
        <family val="2"/>
      </rPr>
      <t>Acid Anions:</t>
    </r>
    <r>
      <rPr>
        <sz val="10"/>
        <rFont val="Arial"/>
        <family val="2"/>
      </rPr>
      <t xml:space="preserve"> The concentrations of anions such as </t>
    </r>
    <r>
      <rPr>
        <b/>
        <sz val="10"/>
        <rFont val="Arial"/>
        <family val="2"/>
      </rPr>
      <t>lactate, phosphate, malate, citrate, tartarate,</t>
    </r>
    <r>
      <rPr>
        <sz val="10"/>
        <rFont val="Arial"/>
        <family val="2"/>
      </rPr>
      <t xml:space="preserve"> and </t>
    </r>
    <r>
      <rPr>
        <b/>
        <sz val="10"/>
        <rFont val="Arial"/>
        <family val="2"/>
      </rPr>
      <t>acetate</t>
    </r>
    <r>
      <rPr>
        <sz val="10"/>
        <rFont val="Arial"/>
        <family val="2"/>
      </rPr>
      <t xml:space="preserve"> are calculated and displayed alongside the acid calculations. While the concentrations may be high in either the mashing or sparging water, </t>
    </r>
    <r>
      <rPr>
        <b/>
        <sz val="10"/>
        <rFont val="Arial"/>
        <family val="2"/>
      </rPr>
      <t>refer to the Adjustment Summary sheet to check what the overall concentrations of those anions are in the final wort.</t>
    </r>
    <r>
      <rPr>
        <sz val="10"/>
        <rFont val="Arial"/>
        <family val="2"/>
      </rPr>
      <t xml:space="preserve"> Text displays alert the brewer if the concentrations are above or below the typical taste thresholds for each ion. If an anion is reported to be above its taste threshold, the brewer may elect to alter the amount of the excessive acid.  Lactate from acid malt is included in the concentration shown on the </t>
    </r>
    <r>
      <rPr>
        <b/>
        <sz val="10"/>
        <rFont val="Arial"/>
        <family val="2"/>
      </rPr>
      <t xml:space="preserve">Adjustment Summary </t>
    </r>
    <r>
      <rPr>
        <sz val="10"/>
        <rFont val="Arial"/>
        <family val="2"/>
      </rPr>
      <t>sheet.</t>
    </r>
  </si>
  <si>
    <r>
      <rPr>
        <b/>
        <sz val="10"/>
        <rFont val="Arial"/>
        <family val="2"/>
      </rPr>
      <t>Water Volumes</t>
    </r>
    <r>
      <rPr>
        <sz val="10"/>
        <rFont val="Arial"/>
        <family val="2"/>
      </rPr>
      <t xml:space="preserve">: Enter the water volumes to be used in the brewing and production in the </t>
    </r>
    <r>
      <rPr>
        <b/>
        <sz val="10"/>
        <color indexed="62"/>
        <rFont val="Arial"/>
        <family val="2"/>
      </rPr>
      <t>BLUE</t>
    </r>
    <r>
      <rPr>
        <sz val="10"/>
        <rFont val="Arial"/>
        <family val="2"/>
      </rPr>
      <t xml:space="preserve"> cells at the top of the </t>
    </r>
    <r>
      <rPr>
        <b/>
        <sz val="10"/>
        <rFont val="Arial"/>
        <family val="2"/>
      </rPr>
      <t>Water Additions</t>
    </r>
    <r>
      <rPr>
        <sz val="10"/>
        <rFont val="Arial"/>
        <family val="2"/>
      </rPr>
      <t xml:space="preserve"> area.  Enter the total volume of water that will be added to the mash tun as the </t>
    </r>
    <r>
      <rPr>
        <b/>
        <sz val="10"/>
        <rFont val="Arial"/>
        <family val="2"/>
      </rPr>
      <t>Mash Water Volume</t>
    </r>
    <r>
      <rPr>
        <sz val="10"/>
        <rFont val="Arial"/>
        <family val="2"/>
      </rPr>
      <t xml:space="preserve">.  Enter the total volume of water that will be added for mash out and sparging as the </t>
    </r>
    <r>
      <rPr>
        <b/>
        <sz val="10"/>
        <rFont val="Arial"/>
        <family val="2"/>
      </rPr>
      <t>Sparge Water Volume</t>
    </r>
    <r>
      <rPr>
        <sz val="10"/>
        <rFont val="Arial"/>
        <family val="2"/>
      </rPr>
      <t xml:space="preserve">.  Enter the total finished volume of the batch as the </t>
    </r>
    <r>
      <rPr>
        <b/>
        <sz val="10"/>
        <rFont val="Arial"/>
        <family val="2"/>
      </rPr>
      <t>Total Batch Volume</t>
    </r>
    <r>
      <rPr>
        <sz val="10"/>
        <rFont val="Arial"/>
        <family val="2"/>
      </rPr>
      <t xml:space="preserve">.  The </t>
    </r>
    <r>
      <rPr>
        <b/>
        <sz val="10"/>
        <rFont val="Arial"/>
        <family val="2"/>
      </rPr>
      <t>Total Batch Volume</t>
    </r>
    <r>
      <rPr>
        <sz val="10"/>
        <rFont val="Arial"/>
        <family val="2"/>
      </rPr>
      <t xml:space="preserve"> is only used to estimate the beer color (SRM) on the </t>
    </r>
    <r>
      <rPr>
        <b/>
        <sz val="10"/>
        <rFont val="Arial"/>
        <family val="2"/>
      </rPr>
      <t xml:space="preserve">Grain Bill Input </t>
    </r>
    <r>
      <rPr>
        <sz val="10"/>
        <rFont val="Arial"/>
        <family val="2"/>
      </rPr>
      <t xml:space="preserve">sheet.  Note that the </t>
    </r>
    <r>
      <rPr>
        <b/>
        <sz val="10"/>
        <rFont val="Arial"/>
        <family val="2"/>
      </rPr>
      <t>Total Batch Volume</t>
    </r>
    <r>
      <rPr>
        <sz val="10"/>
        <rFont val="Arial"/>
        <family val="2"/>
      </rPr>
      <t xml:space="preserve"> will be less than the mash plus sparge volume due to grain adsorption, evaporation, etc.  </t>
    </r>
  </si>
  <si>
    <r>
      <rPr>
        <b/>
        <sz val="10"/>
        <rFont val="Arial"/>
        <family val="2"/>
      </rPr>
      <t xml:space="preserve">Warning: </t>
    </r>
    <r>
      <rPr>
        <sz val="10"/>
        <rFont val="Arial"/>
        <family val="2"/>
      </rPr>
      <t xml:space="preserve">Pickling Lime is a strong caustic and can cause burns.  Pickling Lime is typically available as a fine powder and can easily be blown onto skin, eyes, nose, and mouth.  Use great care when using Pickling Lime and measure carefully.  ADD PICKLING LIME ONLY TO THE MASH.  AVOID ADDING LIME TO ONLY THE WATER OR THE WATER pH MAY INCREASE EXCESSIVELY AND MAY PRECIPITATE CALCIUM CARBONATE.   Most alkalinity adjustment requires very small Pickling Lime additions.  If the brewer does not have a scale that can measure down to 0.1 gram accuracy, creating a Lime Water solution may be an acceptable alternative.  For instance, a solution can be created by adding 1 gram of Pickling Lime to 1 liter of water.  Add tenths of the liter of solution to the mash corresponding to the tenths of a gram of Pickling Lime indicated on the </t>
    </r>
    <r>
      <rPr>
        <b/>
        <sz val="10"/>
        <rFont val="Arial"/>
        <family val="2"/>
      </rPr>
      <t xml:space="preserve">Water Adjustment </t>
    </r>
    <r>
      <rPr>
        <sz val="10"/>
        <rFont val="Arial"/>
        <family val="2"/>
      </rPr>
      <t>sheet.  Craftbrewer batch sizes are typically large enough to reduce the need to dose lime at tenth of a gram accuracy.</t>
    </r>
  </si>
  <si>
    <r>
      <rPr>
        <b/>
        <sz val="10"/>
        <rFont val="Arial"/>
        <family val="2"/>
      </rPr>
      <t xml:space="preserve">Add CaSO4 &amp; CaCl2 to replace Chalk &amp; Lime in Sparging Water: </t>
    </r>
    <r>
      <rPr>
        <sz val="10"/>
        <rFont val="Arial"/>
        <family val="2"/>
      </rPr>
      <t xml:space="preserve">This may be desirable if the water has Calcium content below 40 ppm. Input </t>
    </r>
    <r>
      <rPr>
        <b/>
        <sz val="10"/>
        <rFont val="Arial"/>
        <family val="2"/>
      </rPr>
      <t>YES</t>
    </r>
    <r>
      <rPr>
        <sz val="10"/>
        <rFont val="Arial"/>
        <family val="2"/>
      </rPr>
      <t xml:space="preserve"> adjacent to "</t>
    </r>
    <r>
      <rPr>
        <b/>
        <sz val="10"/>
        <rFont val="Arial"/>
        <family val="2"/>
      </rPr>
      <t>Add CaSO</t>
    </r>
    <r>
      <rPr>
        <b/>
        <vertAlign val="subscript"/>
        <sz val="10"/>
        <rFont val="Arial"/>
        <family val="2"/>
      </rPr>
      <t>4</t>
    </r>
    <r>
      <rPr>
        <b/>
        <sz val="10"/>
        <rFont val="Arial"/>
        <family val="2"/>
      </rPr>
      <t xml:space="preserve"> &amp; CaCl</t>
    </r>
    <r>
      <rPr>
        <b/>
        <vertAlign val="subscript"/>
        <sz val="10"/>
        <rFont val="Arial"/>
        <family val="2"/>
      </rPr>
      <t>2</t>
    </r>
    <r>
      <rPr>
        <b/>
        <sz val="10"/>
        <rFont val="Arial"/>
        <family val="2"/>
      </rPr>
      <t xml:space="preserve"> to replace Chalk &amp; Lime in Sparging Water?</t>
    </r>
    <r>
      <rPr>
        <sz val="10"/>
        <rFont val="Arial"/>
        <family val="2"/>
      </rPr>
      <t>" to indicate that the brewer wants extra Gypsum and CaCl</t>
    </r>
    <r>
      <rPr>
        <vertAlign val="subscript"/>
        <sz val="10"/>
        <rFont val="Arial"/>
        <family val="2"/>
      </rPr>
      <t>2</t>
    </r>
    <r>
      <rPr>
        <sz val="10"/>
        <rFont val="Arial"/>
        <family val="2"/>
      </rPr>
      <t xml:space="preserve"> added to Sparging Water additions to supplement Calcium concentration since Chalk or Pickling Lime is not added to Sparging Water.    The added Gypsum and CaCl</t>
    </r>
    <r>
      <rPr>
        <vertAlign val="subscript"/>
        <sz val="10"/>
        <rFont val="Arial"/>
        <family val="2"/>
      </rPr>
      <t>2</t>
    </r>
    <r>
      <rPr>
        <sz val="10"/>
        <rFont val="Arial"/>
        <family val="2"/>
      </rPr>
      <t xml:space="preserve"> quantities maintain the brewer's desired Sulfate/Chloride ratio. The cell turns </t>
    </r>
    <r>
      <rPr>
        <b/>
        <sz val="10"/>
        <color indexed="10"/>
        <rFont val="Arial"/>
        <family val="2"/>
      </rPr>
      <t>RED</t>
    </r>
    <r>
      <rPr>
        <sz val="10"/>
        <rFont val="Arial"/>
        <family val="2"/>
      </rPr>
      <t xml:space="preserve"> if </t>
    </r>
    <r>
      <rPr>
        <b/>
        <sz val="10"/>
        <rFont val="Arial"/>
        <family val="2"/>
      </rPr>
      <t>YES</t>
    </r>
    <r>
      <rPr>
        <sz val="10"/>
        <rFont val="Arial"/>
        <family val="2"/>
      </rPr>
      <t xml:space="preserve"> is entered (this signals that those minerals will be added directly to the kettle instead of the mash).  </t>
    </r>
  </si>
  <si>
    <r>
      <rPr>
        <b/>
        <sz val="10"/>
        <rFont val="Arial"/>
        <family val="2"/>
      </rPr>
      <t>Add Sparging Water mineral additions to the Mash:</t>
    </r>
    <r>
      <rPr>
        <sz val="10"/>
        <rFont val="Arial"/>
        <family val="2"/>
      </rPr>
      <t xml:space="preserve"> Adding the Sparging Water mineral additions to the mash can help depress mash pH and help elevate the mash calcium content to help remove oxalate from the wort. This is helpful when brewing with low calcium content water. It allows the brewer to reduce the overall calcium content in the kettle wort which can be helpful in lager brewing. Input </t>
    </r>
    <r>
      <rPr>
        <b/>
        <sz val="10"/>
        <rFont val="Arial"/>
        <family val="2"/>
      </rPr>
      <t>YES</t>
    </r>
    <r>
      <rPr>
        <sz val="10"/>
        <rFont val="Arial"/>
        <family val="2"/>
      </rPr>
      <t xml:space="preserve"> adjacent to "</t>
    </r>
    <r>
      <rPr>
        <b/>
        <sz val="10"/>
        <rFont val="Arial"/>
        <family val="2"/>
      </rPr>
      <t>Add Sparging Water mineral additions to the Mash</t>
    </r>
    <r>
      <rPr>
        <sz val="10"/>
        <rFont val="Arial"/>
        <family val="2"/>
      </rPr>
      <t xml:space="preserve">?" to indicate that all minerals calculated for the sparging water volume will be added to the mash. The cell turns </t>
    </r>
    <r>
      <rPr>
        <b/>
        <sz val="10"/>
        <color indexed="10"/>
        <rFont val="Arial"/>
        <family val="2"/>
      </rPr>
      <t>RED</t>
    </r>
    <r>
      <rPr>
        <sz val="10"/>
        <rFont val="Arial"/>
        <family val="2"/>
      </rPr>
      <t xml:space="preserve"> if </t>
    </r>
    <r>
      <rPr>
        <b/>
        <sz val="10"/>
        <rFont val="Arial"/>
        <family val="2"/>
      </rPr>
      <t>YES</t>
    </r>
    <r>
      <rPr>
        <sz val="10"/>
        <rFont val="Arial"/>
        <family val="2"/>
      </rPr>
      <t xml:space="preserve"> is entered (this signals that those minerals will be added directly to the kettle instead of the mash).  </t>
    </r>
  </si>
  <si>
    <r>
      <rPr>
        <b/>
        <sz val="10"/>
        <rFont val="Arial"/>
        <family val="2"/>
      </rPr>
      <t>Add Hardness Minerals directly to Kettle:</t>
    </r>
    <r>
      <rPr>
        <sz val="10"/>
        <rFont val="Arial"/>
        <family val="2"/>
      </rPr>
      <t xml:space="preserve"> If the Mashing Water has low alkalinity, the mash pH may drop too low if calcium- and magnesium-containing minerals are added to the mash.  In this case, it may be preferred to reserve those minerals from the mash and add them directly to the kettle to avoid dropping the mash pH too low.  A "</t>
    </r>
    <r>
      <rPr>
        <b/>
        <sz val="10"/>
        <rFont val="Arial"/>
        <family val="2"/>
      </rPr>
      <t>Add Hardness Minerals directly to Kettle?</t>
    </r>
    <r>
      <rPr>
        <sz val="10"/>
        <rFont val="Arial"/>
        <family val="2"/>
      </rPr>
      <t xml:space="preserve">" indicator is provided on the right-hand side of the Mineral Additions area.  The brewer may use this feature to see if adding the calcium- and magnesium-containing minerals directly to the kettle will help avoid a too low mash pH condition.  The cell turns </t>
    </r>
    <r>
      <rPr>
        <b/>
        <sz val="10"/>
        <color indexed="10"/>
        <rFont val="Arial"/>
        <family val="2"/>
      </rPr>
      <t xml:space="preserve">RED </t>
    </r>
    <r>
      <rPr>
        <sz val="10"/>
        <rFont val="Arial"/>
        <family val="2"/>
      </rPr>
      <t xml:space="preserve">if </t>
    </r>
    <r>
      <rPr>
        <b/>
        <sz val="10"/>
        <rFont val="Arial"/>
        <family val="2"/>
      </rPr>
      <t>YES</t>
    </r>
    <r>
      <rPr>
        <sz val="10"/>
        <rFont val="Arial"/>
        <family val="2"/>
      </rPr>
      <t xml:space="preserve"> is entered (this signals that those minerals will be added directly to the kettle instead of the mash).    </t>
    </r>
  </si>
  <si>
    <r>
      <rPr>
        <b/>
        <sz val="10"/>
        <rFont val="Arial"/>
        <family val="2"/>
      </rPr>
      <t>Working with Calcium Chloride</t>
    </r>
    <r>
      <rPr>
        <sz val="10"/>
        <rFont val="Arial"/>
        <family val="2"/>
      </rPr>
      <t>: Calcium chloride can easily absorb moisture from the air and alter the density of the solid calcium chloride mineral. In addition, calcium chloride is commonly available in anhydrous (no water) and dihydrate (2 water molecule) forms. The program includes settings to select either anhydrous or dihydrate solid forms of this mineral. Since the mineral can easily pick up moisture and alter its density, which subsequently changes how much calcium chloride is actually added to the water, an alternative is to use a calcium chloride solution. Calcium chloride solution strength is typically consistent as long as it is stored in an air-tight container.</t>
    </r>
  </si>
  <si>
    <t>Yellow Full</t>
  </si>
  <si>
    <t>Yellow Dry</t>
  </si>
  <si>
    <t>Amber Full</t>
  </si>
  <si>
    <t>Brown Full</t>
  </si>
  <si>
    <t>Black Full</t>
  </si>
  <si>
    <t>Amber Dry</t>
  </si>
  <si>
    <t>Brown Dry</t>
  </si>
  <si>
    <t>Black Dry</t>
  </si>
  <si>
    <r>
      <t xml:space="preserve">            The first thing needed for brewing water analysis is to know your water supply characteristics and ion concentrations.  Of course, you want a water supply that is safe to drink and tastes good.  Water that leaves black, brown, or red water staining may be an indication that the water will need additional treatment to be suitable for brewing.  Water that has been softened by typical home water softeners (ion exchange) is not typically desirable for brewing due to several factors including:  </t>
    </r>
    <r>
      <rPr>
        <b/>
        <sz val="10"/>
        <rFont val="Arial"/>
        <family val="2"/>
      </rPr>
      <t>elevated sodium or potassium content, low calcium and magnesium content, while still containing excessive alkalinity.</t>
    </r>
    <r>
      <rPr>
        <sz val="10"/>
        <rFont val="Arial"/>
        <family val="2"/>
      </rPr>
      <t xml:space="preserve">   Brewers with softened water may find that obtaining their brewing water from a point upstream of their softener unit will produce better brewing results.  An exception is if the raw water has iron or manganese at perceptible levels.  Hard water is not typically an obstacle to brewing good beer.  However, alkalinity is a problem typical to many brewers. </t>
    </r>
    <r>
      <rPr>
        <b/>
        <sz val="10"/>
        <rFont val="Arial"/>
        <family val="2"/>
      </rPr>
      <t xml:space="preserve"> Ion-exchange water softeners do not affect alkalinity significantly and the resulting water is often poorly suited to brewing.</t>
    </r>
  </si>
  <si>
    <t>Batch Name</t>
  </si>
  <si>
    <t>Volume Setting</t>
  </si>
  <si>
    <t>K</t>
  </si>
  <si>
    <t>Fe</t>
  </si>
  <si>
    <t>CO3</t>
  </si>
  <si>
    <t>NO3</t>
  </si>
  <si>
    <t>NO2</t>
  </si>
  <si>
    <t>F</t>
  </si>
  <si>
    <t>Start pH</t>
  </si>
  <si>
    <t>Target pH</t>
  </si>
  <si>
    <t>Dilution Water</t>
  </si>
  <si>
    <t>Dilution %</t>
  </si>
  <si>
    <t>Sprg Sht Vol</t>
  </si>
  <si>
    <t>Acid 1 Type</t>
  </si>
  <si>
    <t>Acid 1 Setting</t>
  </si>
  <si>
    <t>Acid 1 Str</t>
  </si>
  <si>
    <t>Acid 2 %</t>
  </si>
  <si>
    <t>Acid 2 Type</t>
  </si>
  <si>
    <t>Acid 2 Setting</t>
  </si>
  <si>
    <t>Acid 2 Str</t>
  </si>
  <si>
    <t>Color Setting</t>
  </si>
  <si>
    <t>Grain 1 Name</t>
  </si>
  <si>
    <t>Grain 1 Type</t>
  </si>
  <si>
    <t>Grain 1 Color</t>
  </si>
  <si>
    <t>Grain 1 MassL</t>
  </si>
  <si>
    <t>Grain 1 MassH</t>
  </si>
  <si>
    <t>Grain 2 Name</t>
  </si>
  <si>
    <t>Grain 2 Type</t>
  </si>
  <si>
    <t>Grain 2 MassH</t>
  </si>
  <si>
    <t>Grain 2 MassL</t>
  </si>
  <si>
    <t>Grain 2 Color</t>
  </si>
  <si>
    <t>Grain 3 Name</t>
  </si>
  <si>
    <t>Grain 3 Type</t>
  </si>
  <si>
    <t>Grain 3 MassH</t>
  </si>
  <si>
    <t>Grain 3 MassL</t>
  </si>
  <si>
    <t>Grain 3 Color</t>
  </si>
  <si>
    <t>Grain 4 Name</t>
  </si>
  <si>
    <t>Grain 4 Type</t>
  </si>
  <si>
    <t>Grain 4 MassH</t>
  </si>
  <si>
    <t>Grain 4 MassL</t>
  </si>
  <si>
    <t>Grain 4 Color</t>
  </si>
  <si>
    <t>Grain 5 Name</t>
  </si>
  <si>
    <t>Grain 5 Type</t>
  </si>
  <si>
    <t>Grain 5 MassH</t>
  </si>
  <si>
    <t>Grain 5 MassL</t>
  </si>
  <si>
    <t>Grain 5 Color</t>
  </si>
  <si>
    <t>Grain 6 Name</t>
  </si>
  <si>
    <t>Grain 6 Type</t>
  </si>
  <si>
    <t>Grain 6 MassH</t>
  </si>
  <si>
    <t>Grain 6 MassL</t>
  </si>
  <si>
    <t>Grain 6 Color</t>
  </si>
  <si>
    <t>Grain 7 Name</t>
  </si>
  <si>
    <t>Grain 7 Type</t>
  </si>
  <si>
    <t>Grain 7 MassH</t>
  </si>
  <si>
    <t>Grain 7 MassL</t>
  </si>
  <si>
    <t>Grain 7 Color</t>
  </si>
  <si>
    <t>Grain 8 Name</t>
  </si>
  <si>
    <t>Grain 8 Type</t>
  </si>
  <si>
    <t>Grain 8 MassH</t>
  </si>
  <si>
    <t>Grain 8 MassL</t>
  </si>
  <si>
    <t>Grain 8 Color</t>
  </si>
  <si>
    <t>Grain 9 Name</t>
  </si>
  <si>
    <t>Grain 9 Type</t>
  </si>
  <si>
    <t>Grain 9 MassH</t>
  </si>
  <si>
    <t>Grain 9 MassL</t>
  </si>
  <si>
    <t>Grain 9 Color</t>
  </si>
  <si>
    <t>Grain 10 Name</t>
  </si>
  <si>
    <t>Grain 10 Type</t>
  </si>
  <si>
    <t>Grain 10 MassH</t>
  </si>
  <si>
    <t>Grain 10 MassL</t>
  </si>
  <si>
    <t>Grain 10 Color</t>
  </si>
  <si>
    <t>Grain 11 Name</t>
  </si>
  <si>
    <t>Grain 11 Type</t>
  </si>
  <si>
    <t>Grain 11 MassH</t>
  </si>
  <si>
    <t>Grain 11 MassL</t>
  </si>
  <si>
    <t>Grain 11 Color</t>
  </si>
  <si>
    <t>Grain 12 Name</t>
  </si>
  <si>
    <t>Grain 12 Type</t>
  </si>
  <si>
    <t>Grain 12 MassH</t>
  </si>
  <si>
    <t>Grain 12 MassL</t>
  </si>
  <si>
    <t>Grain 12 Color</t>
  </si>
  <si>
    <t>Mashing Water</t>
  </si>
  <si>
    <t>Reserve Crystal</t>
  </si>
  <si>
    <t>Reserve Roast</t>
  </si>
  <si>
    <t>Acid Malt Setting</t>
  </si>
  <si>
    <t>Water Target</t>
  </si>
  <si>
    <t>Mash Vol</t>
  </si>
  <si>
    <t>Sparge Vol</t>
  </si>
  <si>
    <t>Batch Vol</t>
  </si>
  <si>
    <t>Gyp Add</t>
  </si>
  <si>
    <t>CaCl Add</t>
  </si>
  <si>
    <t>Epsom Add</t>
  </si>
  <si>
    <t>MgCl Add</t>
  </si>
  <si>
    <t>NaCl Add</t>
  </si>
  <si>
    <t>Baking Add</t>
  </si>
  <si>
    <t>Chalk Add</t>
  </si>
  <si>
    <t>Lime Add</t>
  </si>
  <si>
    <t>Acid 1 Set</t>
  </si>
  <si>
    <t>Acid 1 Add</t>
  </si>
  <si>
    <t>Acid 2 Set</t>
  </si>
  <si>
    <t>Acid 2 Add</t>
  </si>
  <si>
    <t>CaCl Form</t>
  </si>
  <si>
    <t>CaCl Liq</t>
  </si>
  <si>
    <t>Sprg Min 2 Mash</t>
  </si>
  <si>
    <t>Hard 2 Kettle</t>
  </si>
  <si>
    <t>Replace Lime</t>
  </si>
  <si>
    <t>&lt; Select</t>
  </si>
  <si>
    <t>Gypsum</t>
  </si>
  <si>
    <t>Chalk</t>
  </si>
  <si>
    <t>Pickling Lime</t>
  </si>
  <si>
    <t>Select Batch Below</t>
  </si>
  <si>
    <t>SAVED DATA SETS</t>
  </si>
  <si>
    <t>Data Management</t>
  </si>
  <si>
    <t xml:space="preserve">Here are a few program setup recommendations to aid your use of Bru'n Water. </t>
  </si>
  <si>
    <r>
      <t xml:space="preserve">2. A </t>
    </r>
    <r>
      <rPr>
        <b/>
        <sz val="10"/>
        <rFont val="Arial"/>
        <family val="2"/>
      </rPr>
      <t>Data Manager</t>
    </r>
    <r>
      <rPr>
        <sz val="10"/>
        <rFont val="Arial"/>
        <family val="2"/>
      </rPr>
      <t xml:space="preserve"> function has been added to </t>
    </r>
    <r>
      <rPr>
        <b/>
        <sz val="10"/>
        <rFont val="Arial"/>
        <family val="2"/>
      </rPr>
      <t>Bru'n Water</t>
    </r>
    <r>
      <rPr>
        <sz val="10"/>
        <rFont val="Arial"/>
        <family val="2"/>
      </rPr>
      <t xml:space="preserve">. That function enables you to save and recall the inputs from your batches. That function uses Excel's macro programming language to automate the exchange of the data in and out of the storage table. Therefore, the Excel program must be operated with </t>
    </r>
    <r>
      <rPr>
        <b/>
        <sz val="10"/>
        <rFont val="Arial"/>
        <family val="2"/>
      </rPr>
      <t>Macros Enabled</t>
    </r>
    <r>
      <rPr>
        <sz val="10"/>
        <rFont val="Arial"/>
        <family val="2"/>
      </rPr>
      <t xml:space="preserve"> in order to use that functionality. </t>
    </r>
  </si>
  <si>
    <r>
      <t xml:space="preserve">8. Up to 100 brewing batch data sets may now be saved within the program. This avoids the need to save individual Excel files for each batch. Sheet </t>
    </r>
    <r>
      <rPr>
        <b/>
        <sz val="10"/>
        <rFont val="Arial"/>
        <family val="2"/>
      </rPr>
      <t>6. Data Manager</t>
    </r>
    <r>
      <rPr>
        <sz val="10"/>
        <rFont val="Arial"/>
        <family val="2"/>
      </rPr>
      <t xml:space="preserve"> contains the selections for saving and recalling your data sets. It is no longer necessary to save individual Excel files for each batch.</t>
    </r>
  </si>
  <si>
    <r>
      <t xml:space="preserve">The drop-down boxes and slider buttons in this software may require the use of Macros. The Data Manager function does require Macros for its operation. Macros should be enabled in the software to access the drop-down selection information.  If a security message from the spreadsheet software is displayed regarding macros, enable macros to run to gain full use of this program's features. </t>
    </r>
    <r>
      <rPr>
        <b/>
        <sz val="10"/>
        <rFont val="Arial"/>
        <family val="2"/>
      </rPr>
      <t xml:space="preserve">NOTE: Some software versions of Excel, OpenOffice, or LibreOffice may operate the Bru'n Water program successfully without enabling the Macros. If the drop-down boxes and slider buttons work for you, then you won't need to enable Macros. Mac users report that saving the program in the .xlsm format does retain the program's capabilities. </t>
    </r>
  </si>
  <si>
    <r>
      <t xml:space="preserve">Some laboratory test reports provide information on </t>
    </r>
    <r>
      <rPr>
        <b/>
        <sz val="10"/>
        <rFont val="Arial"/>
        <family val="2"/>
      </rPr>
      <t>Total Dissolved Solids</t>
    </r>
    <r>
      <rPr>
        <sz val="10"/>
        <rFont val="Arial"/>
        <family val="2"/>
      </rPr>
      <t xml:space="preserve"> (</t>
    </r>
    <r>
      <rPr>
        <b/>
        <sz val="10"/>
        <rFont val="Arial"/>
        <family val="2"/>
      </rPr>
      <t>TDS</t>
    </r>
    <r>
      <rPr>
        <sz val="10"/>
        <rFont val="Arial"/>
        <family val="2"/>
      </rPr>
      <t xml:space="preserve">).  The </t>
    </r>
    <r>
      <rPr>
        <b/>
        <sz val="10"/>
        <rFont val="Arial"/>
        <family val="2"/>
      </rPr>
      <t>Water Report Input</t>
    </r>
    <r>
      <rPr>
        <sz val="10"/>
        <rFont val="Arial"/>
        <family val="2"/>
      </rPr>
      <t xml:space="preserve"> sheet shows the </t>
    </r>
    <r>
      <rPr>
        <b/>
        <sz val="10"/>
        <rFont val="Arial"/>
        <family val="2"/>
      </rPr>
      <t xml:space="preserve">TDS </t>
    </r>
    <r>
      <rPr>
        <sz val="10"/>
        <rFont val="Arial"/>
        <family val="2"/>
      </rPr>
      <t xml:space="preserve">calculated from the input water parameters for comparison to the laboratory test report.  This comparison may be useful in finding errors in the water report or inputs.  In most cases, the </t>
    </r>
    <r>
      <rPr>
        <b/>
        <sz val="10"/>
        <rFont val="Arial"/>
        <family val="2"/>
      </rPr>
      <t>TDS</t>
    </r>
    <r>
      <rPr>
        <sz val="10"/>
        <rFont val="Arial"/>
        <family val="2"/>
      </rPr>
      <t xml:space="preserve"> value calculated on the </t>
    </r>
    <r>
      <rPr>
        <b/>
        <sz val="10"/>
        <rFont val="Arial"/>
        <family val="2"/>
      </rPr>
      <t>Water Report Input</t>
    </r>
    <r>
      <rPr>
        <sz val="10"/>
        <rFont val="Arial"/>
        <family val="2"/>
      </rPr>
      <t xml:space="preserve"> sheet will be a little lower than the value reported in a lab test report since the water report may include more ion species in their calculation.  </t>
    </r>
    <r>
      <rPr>
        <b/>
        <sz val="10"/>
        <rFont val="Arial"/>
        <family val="2"/>
      </rPr>
      <t>WARNING:</t>
    </r>
    <r>
      <rPr>
        <sz val="10"/>
        <rFont val="Arial"/>
        <family val="2"/>
      </rPr>
      <t xml:space="preserve"> TDS measurements from a TDS meter are not highly accurate and they may not agree closely with the calculated values. A TDS meter should only be used as a qualitative measurement to determine if the TDS is higher or lower than previous measurements. </t>
    </r>
  </si>
  <si>
    <r>
      <t xml:space="preserve">An accurate scale should be used for measuring solid acid additions and an accurate volume measure such as a graduated cylinder, pipette, or graduated dropper should be used for liquid additions.  Care and proper protective gear must be used when working with acid since it can cause serious physical harm.  Measure carefully and use instruments such as graduated pipettes or droppers to transfer acid.  If the brewer has a calibrated pH meter or test strips available, add about 3/4 of the calculated acid amount and mix the water thoroughly prior to checking the pH.  Add the remainder of the acid incrementally while checking the water pH to make sure the pH isn't overshot.  Once the performance of the Existing Water and the acid are confirmed to hit the Target pH, acid additions for future brewing sessions can typically be added all at once. </t>
    </r>
    <r>
      <rPr>
        <b/>
        <sz val="10"/>
        <rFont val="Arial"/>
        <family val="2"/>
      </rPr>
      <t xml:space="preserve"> Use caution when using pH strips since there is evidence that the typical strips used by homebrewers measure about 0.2 to 0.3 units LOWER than actually present in the mash.  pH measurement with a calibrated meter is recommended.  If using pH strips, a pH reading that is about 0.2 units BELOW your targeted pH should be considered good.  Plastic (ColorpHast brand) pH strips are preferred since paper pH strips are known to be unsuitable for brewery use. Measurements from a properly calibrated pH meter will always be more accurate than strips. </t>
    </r>
  </si>
  <si>
    <r>
      <t>Special Note:</t>
    </r>
    <r>
      <rPr>
        <sz val="10"/>
        <rFont val="Arial"/>
        <family val="2"/>
      </rPr>
      <t xml:space="preserve"> It appears that base malts from </t>
    </r>
    <r>
      <rPr>
        <b/>
        <sz val="10"/>
        <rFont val="Arial"/>
        <family val="2"/>
      </rPr>
      <t>Rahr</t>
    </r>
    <r>
      <rPr>
        <sz val="10"/>
        <rFont val="Arial"/>
        <family val="2"/>
      </rPr>
      <t xml:space="preserve"> </t>
    </r>
    <r>
      <rPr>
        <b/>
        <sz val="10"/>
        <rFont val="Arial"/>
        <family val="2"/>
      </rPr>
      <t>Malting</t>
    </r>
    <r>
      <rPr>
        <sz val="10"/>
        <rFont val="Arial"/>
        <family val="2"/>
      </rPr>
      <t xml:space="preserve"> may be pre-acidified by that company and they may provide more acidity than expected for similar base malts.   Other maltsters may also produce base malts that can be more acidic than typical. This may produce a mash pH lower than expected or calculated by this program.  A work-around for this problem is to set the color rating of the malt about 3 Lovibond higher than reported by the maltster to allow the program to calculate the correct acidity.   </t>
    </r>
  </si>
  <si>
    <r>
      <rPr>
        <b/>
        <sz val="10"/>
        <rFont val="Arial"/>
        <family val="2"/>
      </rPr>
      <t>Beer Name Input:</t>
    </r>
    <r>
      <rPr>
        <sz val="10"/>
        <rFont val="Arial"/>
        <family val="2"/>
      </rPr>
      <t xml:space="preserve"> A name or other descriptor can be entered at the top of the </t>
    </r>
    <r>
      <rPr>
        <b/>
        <sz val="10"/>
        <rFont val="Arial"/>
        <family val="2"/>
      </rPr>
      <t>Water Adjustment</t>
    </r>
    <r>
      <rPr>
        <sz val="10"/>
        <rFont val="Arial"/>
        <family val="2"/>
      </rPr>
      <t xml:space="preserve"> sheet to customize the output for this brewing water analysis, i.e.. Sierra Nevada Pale Ale clone.  This descriptor is carried through to the </t>
    </r>
    <r>
      <rPr>
        <b/>
        <sz val="10"/>
        <rFont val="Arial"/>
        <family val="2"/>
      </rPr>
      <t>Grain Bill Input</t>
    </r>
    <r>
      <rPr>
        <sz val="10"/>
        <rFont val="Arial"/>
        <family val="2"/>
      </rPr>
      <t xml:space="preserve"> and </t>
    </r>
    <r>
      <rPr>
        <b/>
        <sz val="10"/>
        <rFont val="Arial"/>
        <family val="2"/>
      </rPr>
      <t>Adjustment Summary</t>
    </r>
    <r>
      <rPr>
        <sz val="10"/>
        <rFont val="Arial"/>
        <family val="2"/>
      </rPr>
      <t xml:space="preserve"> sheets.  Be sure to make each beer name unique so that you can find it when you save it on the </t>
    </r>
    <r>
      <rPr>
        <b/>
        <sz val="10"/>
        <rFont val="Arial"/>
        <family val="2"/>
      </rPr>
      <t>Data Manager</t>
    </r>
    <r>
      <rPr>
        <sz val="10"/>
        <rFont val="Arial"/>
        <family val="2"/>
      </rPr>
      <t>. For example, add the date to your beer name to help differentiate it from a previous version of that data.</t>
    </r>
  </si>
  <si>
    <r>
      <t xml:space="preserve">The </t>
    </r>
    <r>
      <rPr>
        <b/>
        <sz val="10"/>
        <rFont val="Arial"/>
        <family val="2"/>
      </rPr>
      <t xml:space="preserve">Adjustment Summary </t>
    </r>
    <r>
      <rPr>
        <sz val="10"/>
        <rFont val="Arial"/>
        <family val="2"/>
      </rPr>
      <t xml:space="preserve">sheet provides the brewer with a concise report of the </t>
    </r>
    <r>
      <rPr>
        <b/>
        <sz val="10"/>
        <rFont val="Arial"/>
        <family val="2"/>
      </rPr>
      <t>Existing, Mashing,</t>
    </r>
    <r>
      <rPr>
        <sz val="10"/>
        <rFont val="Arial"/>
        <family val="2"/>
      </rPr>
      <t xml:space="preserve"> and </t>
    </r>
    <r>
      <rPr>
        <b/>
        <sz val="10"/>
        <rFont val="Arial"/>
        <family val="2"/>
      </rPr>
      <t>Finished Water</t>
    </r>
    <r>
      <rPr>
        <sz val="10"/>
        <rFont val="Arial"/>
        <family val="2"/>
      </rPr>
      <t xml:space="preserve"> characteristics and the Mineral and Acid adjustments recommended to produce the </t>
    </r>
    <r>
      <rPr>
        <b/>
        <sz val="10"/>
        <rFont val="Arial"/>
        <family val="2"/>
      </rPr>
      <t xml:space="preserve">Finished Water. </t>
    </r>
    <r>
      <rPr>
        <sz val="10"/>
        <rFont val="Arial"/>
        <family val="2"/>
      </rPr>
      <t xml:space="preserve"> It is intended to provide a single sheet that can be used as a quick reference during brewing.</t>
    </r>
  </si>
  <si>
    <r>
      <t xml:space="preserve">On Sheet </t>
    </r>
    <r>
      <rPr>
        <b/>
        <sz val="10"/>
        <rFont val="Arial"/>
        <family val="2"/>
      </rPr>
      <t>6. Data Manager</t>
    </r>
    <r>
      <rPr>
        <sz val="10"/>
        <rFont val="Arial"/>
        <family val="2"/>
      </rPr>
      <t>, the data save and data reload features are presented. These features DO use the Macros capability of Excel to move the data to and from the storage table. You must ENABLE MACROS to use this feature.</t>
    </r>
  </si>
  <si>
    <t xml:space="preserve">Batch Name: </t>
  </si>
  <si>
    <r>
      <rPr>
        <b/>
        <sz val="10"/>
        <rFont val="Arial"/>
        <family val="2"/>
      </rPr>
      <t>To Save Your Data:</t>
    </r>
    <r>
      <rPr>
        <sz val="10"/>
        <rFont val="Arial"/>
        <family val="2"/>
      </rPr>
      <t xml:space="preserve"> First, be sure that you have finished all your inputs and adjustments to the data and have input a unique name for that beer batch on the </t>
    </r>
    <r>
      <rPr>
        <b/>
        <sz val="10"/>
        <rFont val="Arial"/>
        <family val="2"/>
      </rPr>
      <t>Grain Bill Input</t>
    </r>
    <r>
      <rPr>
        <sz val="10"/>
        <rFont val="Arial"/>
        <family val="2"/>
      </rPr>
      <t xml:space="preserve"> sheet. Go to the </t>
    </r>
    <r>
      <rPr>
        <b/>
        <sz val="10"/>
        <rFont val="Arial"/>
        <family val="2"/>
      </rPr>
      <t>Data Manager</t>
    </r>
    <r>
      <rPr>
        <sz val="10"/>
        <rFont val="Arial"/>
        <family val="2"/>
      </rPr>
      <t xml:space="preserve"> sheet and press the </t>
    </r>
    <r>
      <rPr>
        <b/>
        <sz val="10"/>
        <rFont val="Arial"/>
        <family val="2"/>
      </rPr>
      <t>SAVE DATA</t>
    </r>
    <r>
      <rPr>
        <sz val="10"/>
        <rFont val="Arial"/>
        <family val="2"/>
      </rPr>
      <t xml:space="preserve"> button once. Pressing the button more than once will save identical copies of the same dataset, which uses up your storage space.</t>
    </r>
  </si>
  <si>
    <t xml:space="preserve">            The Author thanks A.J. DeLange for producing and publishing outstanding resources on mash chemistry and acidification and serving as a continuing resource to the brewing community.  The Author also thanks Kai Troester for the grain acidity information used in this program and his service to the brewing community.  Thanks to James Marsh for pointing out programming enhancements for the program.</t>
  </si>
  <si>
    <r>
      <t xml:space="preserve">The pH of the mash varies with temperature.  The mash pH reading is about 0.2 to 0.3 units lower at 150°F than at room temperature. Therefore, it is important to standardize the temperature at which the pH is measured. </t>
    </r>
    <r>
      <rPr>
        <b/>
        <sz val="10"/>
        <rFont val="Arial"/>
        <family val="2"/>
      </rPr>
      <t>All pH readings presented here assume measurement at room-temperature.</t>
    </r>
    <r>
      <rPr>
        <sz val="10"/>
        <rFont val="Arial"/>
        <family val="2"/>
      </rPr>
      <t xml:space="preserve"> Brewers should note that Automatic Temperature Compensating (ATC) pH meters only compensate for the response of the pH meter's electrode at varying temperature.  It </t>
    </r>
    <r>
      <rPr>
        <b/>
        <sz val="10"/>
        <rFont val="Arial"/>
        <family val="2"/>
      </rPr>
      <t>does not compensate for the actual pH shift produced in the mash</t>
    </r>
    <r>
      <rPr>
        <sz val="10"/>
        <rFont val="Arial"/>
        <family val="2"/>
      </rPr>
      <t xml:space="preserve"> by the increased temperature.  </t>
    </r>
    <r>
      <rPr>
        <b/>
        <sz val="10"/>
        <rFont val="Arial"/>
        <family val="2"/>
      </rPr>
      <t>All mash pH measurement should be performed at room-temperature</t>
    </r>
    <r>
      <rPr>
        <sz val="10"/>
        <rFont val="Arial"/>
        <family val="2"/>
      </rPr>
      <t>.  ATC pH meters are not absolutely necessary for brewing use.</t>
    </r>
  </si>
  <si>
    <t xml:space="preserve">pH influences a number of factors in brewing. The pH of the mash influences the fermentability, color, clarity, and taste of the wort.  The enzymatic processes during mashing are enhanced at a slightly acidic pH between 5.2 and 5.6.  The lower end of that range produces more fermentable wort and thinner body that has better extraction efficiency, lighter color, better hot break formation, and is less prone to form haze.  A mash pH greater than 6.0 can leach harsh-tasting silicates, tannins, and polyphenols from the grain into the wort. To avoid increasing the mash pH during sparging, sparge water alkalinity should be adjusted to less than 25 ppm (as CaCO3), which typically results in the water's pH being less than 6.0.  </t>
  </si>
  <si>
    <r>
      <rPr>
        <b/>
        <sz val="10"/>
        <rFont val="Arial"/>
        <family val="2"/>
      </rPr>
      <t>SPECIAL NOTE:</t>
    </r>
    <r>
      <rPr>
        <sz val="10"/>
        <rFont val="Arial"/>
        <family val="2"/>
      </rPr>
      <t xml:space="preserve">  Five Star 5.2 Stabilizer is indicated by its manufacturer to "lock in your mash and kettle water at a pH of 5.2 regardless of the starting pH of your water".  Evidence by brewers indicates that this product does not produce a mash pH in the preferred room-temperature range of 5.3 to 5.5.   That evidence shows this product does produce some pH moderation in waters with high Residual Alkalinity.  But, the mash pH tends to center around 5.8 (room-temperature measurement).  While 5.8 pH is acceptable, it is at the upper end of the desirable range.  The evidence also shows that in waters with low Residual Alkalinity, this product shows no improvement in mashing pH.  Since Five Star 5.2 Stabilizer is a compound with high sodium content, its use will elevate the sodium concentration in the brewing water.  High sodium content is undesirable from a taste standpoint in beer.  Proper acidification of mashing and sparging water will produce more acceptable brewing results for most brewers than the use of 5.2 Stabilizer.</t>
    </r>
  </si>
  <si>
    <r>
      <rPr>
        <b/>
        <sz val="10"/>
        <rFont val="Arial"/>
        <family val="2"/>
      </rPr>
      <t xml:space="preserve">SPECIAL NOTE: </t>
    </r>
    <r>
      <rPr>
        <sz val="10"/>
        <rFont val="Arial"/>
        <family val="2"/>
      </rPr>
      <t xml:space="preserve"> pH strips typically used by homebrewers are reported to mis-report mash pH by about 0.2 to 0.3 units lower than actual.  Brewers should use caution when using pH strips.  Without another means of pH verification, brewers are advised to accept a pH strip reading that is about 0.2 units above their targeted pH to avoid undershooting the mash pH.  pH measurement by a calibrated pH meter is preferred.</t>
    </r>
  </si>
  <si>
    <t>RA can be adjusted by either hardness adjustment or alkalinity adjustment as shown by the equation. For instance, Burtonizing water by adding Gypsum and/or Epsom Salt is an example of reducing RA by increasing the water hardness. Adding acid to the water is an example of reducing RA by reducing alkalinity. Decarbonating water by boiling can be used to reduce RA in water with high Temporary Hardness.  Adding Chalk, Pickling Lime, or Baking Soda are examples of increasing RA by increasing alkalinity.  Diluting a water with distilled or RO water does not affect RA since both hardness and alkalinity are reduced equally by the dilution.</t>
  </si>
  <si>
    <t xml:space="preserve">Coordinating the acidity of the malt bill and the alkalinity of the water is important for producing a mash pH that falls within the preferred range of 5.2 and 5.6.  The enzymatic processes of the mash are hindered when the mash pH falls outside that range.  </t>
  </si>
  <si>
    <t>Batch Notes</t>
  </si>
  <si>
    <t>Notes</t>
  </si>
  <si>
    <r>
      <t>Magnesium</t>
    </r>
    <r>
      <rPr>
        <sz val="10"/>
        <rFont val="Arial"/>
        <family val="2"/>
      </rPr>
      <t xml:space="preserve"> is typically the secondary mineral creating hardness in water.  It accentuates flavor when present at low concentrations, but can be astringent at high concentrations.  Magnesium is a yeast nutrient and an important cofactor for certain enzymes.  Like calcium, magnesium reacts with the malt to lower the mash pH, but with a reduced effect compared to calcium.  The preferred range for magnesium concentration is 10 to 30 ppm.  A minimum of 5 ppm magnesium has been found to be desirable for good yeast floculation. Typical malt provides all the magnesium needed in the wort for yeast health and brewing with water that has zero magnesium content is acceptable. The primary reason to add magnesium to brewing water is for its effect on beer flavor.</t>
    </r>
  </si>
  <si>
    <r>
      <t>Sodium</t>
    </r>
    <r>
      <rPr>
        <sz val="10"/>
        <rFont val="Arial"/>
        <family val="2"/>
      </rPr>
      <t xml:space="preserve"> – The sour, salty taste of sodium accentuates beer's flavor when found at moderate concentrations.  It is poisonous to yeast and harsh tasting when present at excessive concentrations. It accentuates flavor when used with chloride and imparts roundness to the beer flavor. The preferred sodium concentration range is 0 to 150 ppm, but the upper limit should be reduced in water with high sulfate concentration to avoid harshness.  A practical maximum concentration of 100 ppm is recommended.</t>
    </r>
  </si>
  <si>
    <r>
      <t>Sulfate</t>
    </r>
    <r>
      <rPr>
        <sz val="10"/>
        <rFont val="Arial"/>
        <family val="2"/>
      </rPr>
      <t xml:space="preserve"> – Sulfate provides a sharper and dryer edge to highly hopped beers.  The ideal concentration range is 0 to 350 ppm, although the concentration should not exceed 150 ppm unless the beer is highly hopped.  Sulfate is often kept relatively low when brewing malt-focused beers, although elevated sulfate content can help dry the finish of malty beers to help them avoid being perceived as cloying.</t>
    </r>
  </si>
  <si>
    <r>
      <t xml:space="preserve">Bicarbonate – </t>
    </r>
    <r>
      <rPr>
        <sz val="10"/>
        <rFont val="Arial"/>
        <family val="2"/>
      </rPr>
      <t xml:space="preserve">Bicarbonate is a strongly alkaline buffer that is typically responsible for the alkalinity in most drinking water. Malt acids produced during mashing can consume some of the bicarbonate in the brewing water.  When the malt acid content is insufficient to neutralize most bicarbonate, the mash pH is not likely to fall into the optimum range which can reduce enzyme action and make hop flavors more harsh. When brewing lighter colored beers, bicarbonate is generally undesirable in brewing water and is best kept below 50 ppm or should be balanced with additional calcium to reduce the Residual Alkalinity of the brewing water. When brewing darker colored beers, elevated bicarbonate concentration may be needed in the mash water to balance the acidity added by the dark colored malts. </t>
    </r>
  </si>
  <si>
    <t xml:space="preserve">Historic beer styles that have developed around the world were sometimes the result of the water conditions present in that area.  Prior to the understanding, measurement, and ability to adjust water chemistry, beer styles developed to suit the local water.  Dark-colored beers developed in areas with high RA water and light-colored beers developed in areas with low RA water.  </t>
  </si>
  <si>
    <t>For example, the groundwater in Burton on Trent is the result of upwelling from the Mercia Mudstone (a gypsum-bearing formation) into the surficial Sand and Gravel aquifer where it mixes with groundwater from rainfall infiltration and from Trent River inflow. The more the brewers of the region utilized that water source, the more the sulfate-laden upwelling was diluted by the other less-mineralized water sources. The amount of rainfall and the river level also affect the groundwater quality.</t>
  </si>
  <si>
    <r>
      <t>Boiling</t>
    </r>
    <r>
      <rPr>
        <sz val="10"/>
        <rFont val="Arial"/>
        <family val="2"/>
      </rPr>
      <t xml:space="preserve"> is effective for chlorine removal, but requires time and energy to conduct the boil.  Boiling is less effective for chloramine removal, but additional boiling time will remove it.  A by-product of boiling is that Temporary Hardness can be removed from the water as described below.</t>
    </r>
  </si>
  <si>
    <r>
      <t>Filtering</t>
    </r>
    <r>
      <rPr>
        <sz val="10"/>
        <rFont val="Arial"/>
        <family val="2"/>
      </rPr>
      <t xml:space="preserve"> brewing water through activated carbon is an effective chlorine removal alternative.  Both chlorine and chloramine are removed from the water while leaving the other water minerals.  Filtering with activated carbon can also remove other water contaminants such as organic compounds that degrade water taste and odor.  The flow rate through the filter affects the removal performance.  Low flow rate through an activated carbon filter is required to provide acceptable chlorine and contaminant removal performance. The flow rate through a standard under-sink (10") activated carbon filter should be no greater than 1 gallon per minute to achieve good chlorine removal. The flow rate needs to be reduced to about 0.1 gallon per minute when chloramines must be removed from the water with that filter size. Inserting a restrictor in the water supply line with a 1/16-inch diameter hole will reduce the flow rate to about 1 gallon per minute.  The flow rate through smaller-sized carbon filters should be further reduced to produce adequate removal.</t>
    </r>
  </si>
  <si>
    <r>
      <t xml:space="preserve">Aeration </t>
    </r>
    <r>
      <rPr>
        <sz val="10"/>
        <rFont val="Arial"/>
        <family val="2"/>
      </rPr>
      <t xml:space="preserve">of tap water can be used to dechlorinate, but its removal rate is low.  Water can also be dechlorinated when the water is left out in an open container or air is bubbled through it.  Boiling can be considered to be a form of accelerated aeration.  As with boiling, chlorine is removed more quickly than chloramines.  A day of aeration is typically sufficient for chlorine removal whereas it may take days to remove chloramine. </t>
    </r>
  </si>
  <si>
    <t xml:space="preserve">Chlorine and Chloramine removal can be verified through testing with a chlorine test kit, such as those found in swimming pool stores.  If the water system does not use chloramine, then a readily-available "Free Chlorine" test kit is sufficient for detecting chlorine residual in the treated water.  If chloramine is used by the water supplier, then a slightly more expensive "Total Chlorine" or "Combined Chlorine" test kit is required for testing the treated water.  Liquid test kits are recommended over test strips since they tend to be more sensitive.    </t>
  </si>
  <si>
    <r>
      <t>Lime Softening is another option for hardness reduction. Pickling Lime is added to the water to elevate its pH to about 11.  Calcium and magnesium compounds will precipitate out of the water at that high pH. After the water clears, the water is immediately decanted off the sediment. Since the water pH is high, the pH must then be reduced prior to brewing usage. Aeration (to dissolve CO</t>
    </r>
    <r>
      <rPr>
        <vertAlign val="subscript"/>
        <sz val="10"/>
        <rFont val="Arial"/>
        <family val="2"/>
      </rPr>
      <t>2</t>
    </r>
    <r>
      <rPr>
        <sz val="10"/>
        <rFont val="Arial"/>
        <family val="2"/>
      </rPr>
      <t xml:space="preserve"> in the water) and/or the addition of acid are suitable for reducing the pH of the lime-treated water.  This method requires time, special chemicals, and a pH meter to conduct successfully. When properly performed, lime softened water provides moderately-hard water with typical concentrations of about 30 ppm calcium and 10 ppm magnesium in water with a </t>
    </r>
    <r>
      <rPr>
        <b/>
        <sz val="10"/>
        <rFont val="Arial"/>
        <family val="2"/>
      </rPr>
      <t>high</t>
    </r>
    <r>
      <rPr>
        <sz val="10"/>
        <rFont val="Arial"/>
        <family val="2"/>
      </rPr>
      <t xml:space="preserve"> Temporary Hardness (low chloride or sulfate concentrations).  When the water also contains Permanent Hardness, Lime Softening is not as effective and the calcium and magnesium concentrations will be higher than indicated here.</t>
    </r>
  </si>
  <si>
    <r>
      <t xml:space="preserve">When the starting water has </t>
    </r>
    <r>
      <rPr>
        <b/>
        <sz val="10"/>
        <rFont val="Arial"/>
        <family val="2"/>
      </rPr>
      <t>high</t>
    </r>
    <r>
      <rPr>
        <sz val="10"/>
        <rFont val="Arial"/>
        <family val="2"/>
      </rPr>
      <t xml:space="preserve"> Temporary Hardness and </t>
    </r>
    <r>
      <rPr>
        <b/>
        <sz val="10"/>
        <rFont val="Arial"/>
        <family val="2"/>
      </rPr>
      <t>low</t>
    </r>
    <r>
      <rPr>
        <sz val="10"/>
        <rFont val="Arial"/>
        <family val="2"/>
      </rPr>
      <t xml:space="preserve"> magnesium concentration, the lime-softening procedure above can be modified to require the pH be raised to about 10 instead of 11.  This will still cause the calcium to precipitate without affecting the magnesium content.  The resulting treated water pH will be easier to neutralize through aeration or acidification with this approach.  This approach is better suited than the pH 11 procedure above, when the water's magnesium content is already less than about 15 ppm.</t>
    </r>
  </si>
  <si>
    <r>
      <t xml:space="preserve">Because </t>
    </r>
    <r>
      <rPr>
        <b/>
        <sz val="10"/>
        <rFont val="Arial"/>
        <family val="2"/>
      </rPr>
      <t>Chalk</t>
    </r>
    <r>
      <rPr>
        <sz val="10"/>
        <rFont val="Arial"/>
        <family val="2"/>
      </rPr>
      <t xml:space="preserve"> does not dissolve easily in plain water or in the mash, chalk should not be used in brewing. The acids in the mash are weak and have difficulty dissolving the chalk.  Evidence has shown that even in the mash, chalk does not dissolve in significant quantity and the intended amount of alkalinity may not be produced in the mash.  Other alkalinity sources are recommended below.</t>
    </r>
  </si>
  <si>
    <r>
      <rPr>
        <b/>
        <sz val="10"/>
        <rFont val="Arial"/>
        <family val="2"/>
      </rPr>
      <t>Baking Soda</t>
    </r>
    <r>
      <rPr>
        <sz val="10"/>
        <rFont val="Arial"/>
        <family val="2"/>
      </rPr>
      <t xml:space="preserve"> usage should be limited if the sodium content of the brewing water is a concern.  Sodium at a concentration of 100 ppm or more can affect flavor and can produce harshness in the beer flavor when the sulfate content is also high. </t>
    </r>
  </si>
  <si>
    <t xml:space="preserve">The disadvantage with acids is that they can be hazardous to handle and they require knowledge or experience to determine how much should be dosed. Accurate measurement for acid addition is needed.  Acidulated malt can also be used to neutralize alkalinity.  Acidulated malt is similar to an acid addition since the malt has been infused with lactic acid. </t>
  </si>
  <si>
    <r>
      <t>In this method, the water is heated to boiling or near-boiling and stirred, splashed, or aerated to help get the CO</t>
    </r>
    <r>
      <rPr>
        <vertAlign val="subscript"/>
        <sz val="10"/>
        <rFont val="Arial"/>
        <family val="2"/>
      </rPr>
      <t>2</t>
    </r>
    <r>
      <rPr>
        <sz val="10"/>
        <rFont val="Arial"/>
        <family val="2"/>
      </rPr>
      <t xml:space="preserve"> out of the water.  As CO</t>
    </r>
    <r>
      <rPr>
        <vertAlign val="subscript"/>
        <sz val="10"/>
        <rFont val="Arial"/>
        <family val="2"/>
      </rPr>
      <t>2</t>
    </r>
    <r>
      <rPr>
        <sz val="10"/>
        <rFont val="Arial"/>
        <family val="2"/>
      </rPr>
      <t xml:space="preserve"> leaves the water, CaCO</t>
    </r>
    <r>
      <rPr>
        <vertAlign val="subscript"/>
        <sz val="10"/>
        <rFont val="Arial"/>
        <family val="2"/>
      </rPr>
      <t>3</t>
    </r>
    <r>
      <rPr>
        <sz val="10"/>
        <rFont val="Arial"/>
        <family val="2"/>
      </rPr>
      <t xml:space="preserve"> precipitates and causes the water to become cloudy.  The heating is ended and the precipitate is allowed to settle quietly to the bottom of the vessel.  The water is then immediately decanted off the sediment and used for brewing.  The water cannot be allowed to sit too long on the sediment or CO</t>
    </r>
    <r>
      <rPr>
        <vertAlign val="subscript"/>
        <sz val="10"/>
        <rFont val="Arial"/>
        <family val="2"/>
      </rPr>
      <t>2</t>
    </r>
    <r>
      <rPr>
        <sz val="10"/>
        <rFont val="Arial"/>
        <family val="2"/>
      </rPr>
      <t xml:space="preserve"> will again diffuse from the atmosphere into the cooled water and redissolve the CaCO</t>
    </r>
    <r>
      <rPr>
        <vertAlign val="subscript"/>
        <sz val="10"/>
        <rFont val="Arial"/>
        <family val="2"/>
      </rPr>
      <t>3</t>
    </r>
    <r>
      <rPr>
        <sz val="10"/>
        <rFont val="Arial"/>
        <family val="2"/>
      </rPr>
      <t xml:space="preserve">.  </t>
    </r>
  </si>
  <si>
    <t>The program allows the saving and recall of brewing batch datasets. This saves you from having to create individual Excel files for each of your beer batches. The feature also enables you to quickly evaluate differing versions of your treatment plan.</t>
  </si>
  <si>
    <r>
      <rPr>
        <b/>
        <sz val="10"/>
        <rFont val="Arial"/>
        <family val="2"/>
      </rPr>
      <t>Erasing Data Files:</t>
    </r>
    <r>
      <rPr>
        <sz val="10"/>
        <rFont val="Arial"/>
        <family val="2"/>
      </rPr>
      <t xml:space="preserve"> Erasing datasets from the </t>
    </r>
    <r>
      <rPr>
        <b/>
        <sz val="10"/>
        <rFont val="Arial"/>
        <family val="2"/>
      </rPr>
      <t>Data Manager</t>
    </r>
    <r>
      <rPr>
        <sz val="10"/>
        <rFont val="Arial"/>
        <family val="2"/>
      </rPr>
      <t xml:space="preserve"> is easy. All you have to do is select and delete the name of the batch in column </t>
    </r>
    <r>
      <rPr>
        <b/>
        <sz val="10"/>
        <rFont val="Arial"/>
        <family val="2"/>
      </rPr>
      <t>E</t>
    </r>
    <r>
      <rPr>
        <sz val="10"/>
        <rFont val="Arial"/>
        <family val="2"/>
      </rPr>
      <t xml:space="preserve"> (Batch Name) on the </t>
    </r>
    <r>
      <rPr>
        <b/>
        <sz val="10"/>
        <rFont val="Arial"/>
        <family val="2"/>
      </rPr>
      <t xml:space="preserve">Data Manager </t>
    </r>
    <r>
      <rPr>
        <sz val="10"/>
        <rFont val="Arial"/>
        <family val="2"/>
      </rPr>
      <t>sheet (go to the column, not the drop-down box). Scroll down the column to find the name of the file you want to erase. Erasing the batch name makes that line of the data table available for another dataset. Datasets are saved in the first line with an empty batch name. It is not necessary to delete all the data to the right of the beer name, but those cell's data can be altered as you wish. You can edit the data table values, but it would probably be better to load each dataset and perform the editing in the regular program interface.</t>
    </r>
  </si>
  <si>
    <r>
      <rPr>
        <b/>
        <sz val="10"/>
        <rFont val="Arial"/>
        <family val="2"/>
      </rPr>
      <t xml:space="preserve">Reloading Data Files: </t>
    </r>
    <r>
      <rPr>
        <sz val="10"/>
        <rFont val="Arial"/>
        <family val="2"/>
      </rPr>
      <t xml:space="preserve">To reload a saved dataset from the </t>
    </r>
    <r>
      <rPr>
        <b/>
        <sz val="10"/>
        <rFont val="Arial"/>
        <family val="2"/>
      </rPr>
      <t>Data Manager</t>
    </r>
    <r>
      <rPr>
        <sz val="10"/>
        <rFont val="Arial"/>
        <family val="2"/>
      </rPr>
      <t xml:space="preserve">, use the selection box (drop-down box) in the cell below the </t>
    </r>
    <r>
      <rPr>
        <b/>
        <sz val="10"/>
        <rFont val="Arial"/>
        <family val="2"/>
      </rPr>
      <t>Select Batch Below</t>
    </r>
    <r>
      <rPr>
        <sz val="10"/>
        <rFont val="Arial"/>
        <family val="2"/>
      </rPr>
      <t xml:space="preserve"> label to find the dataset you want to retrieve. With the proper batch name selected from the Drop-Down box, press the </t>
    </r>
    <r>
      <rPr>
        <b/>
        <sz val="10"/>
        <rFont val="Arial"/>
        <family val="2"/>
      </rPr>
      <t>RELOAD DATA</t>
    </r>
    <r>
      <rPr>
        <sz val="10"/>
        <rFont val="Arial"/>
        <family val="2"/>
      </rPr>
      <t xml:space="preserve"> button to move the data back in to the program. The dataset remains saved in the data table. Be sure to update the Batch Name before resaving since saving this dataset will take a new line in the data table and a new name will help you identify the updated data.</t>
    </r>
  </si>
  <si>
    <t>Suggested mash pH range for darker colored beers is 5.4 to 5.6</t>
  </si>
  <si>
    <r>
      <t xml:space="preserve">Use the </t>
    </r>
    <r>
      <rPr>
        <b/>
        <sz val="10"/>
        <rFont val="Arial"/>
        <family val="2"/>
      </rPr>
      <t xml:space="preserve">Second Acid Percentage </t>
    </r>
    <r>
      <rPr>
        <sz val="10"/>
        <rFont val="Arial"/>
        <family val="2"/>
      </rPr>
      <t xml:space="preserve">cell to input the ratio of the two acids used to treat the sparging water. That value should vary between 0 and 100. If only one acid will be used, set the </t>
    </r>
    <r>
      <rPr>
        <b/>
        <sz val="10"/>
        <rFont val="Arial"/>
        <family val="2"/>
      </rPr>
      <t>Second Acid Percentage</t>
    </r>
    <r>
      <rPr>
        <sz val="10"/>
        <rFont val="Arial"/>
        <family val="2"/>
      </rPr>
      <t xml:space="preserve"> to zero (0).  </t>
    </r>
    <r>
      <rPr>
        <b/>
        <sz val="10"/>
        <rFont val="Arial"/>
        <family val="2"/>
      </rPr>
      <t xml:space="preserve">NOTE: </t>
    </r>
    <r>
      <rPr>
        <sz val="10"/>
        <rFont val="Arial"/>
        <family val="2"/>
      </rPr>
      <t>Either the first or second acid will disappear from the output display when the percentage is set to either 0 or 100 percent. Both acids will display when intermediate percentages are input.</t>
    </r>
  </si>
  <si>
    <r>
      <rPr>
        <b/>
        <sz val="10"/>
        <rFont val="Arial"/>
        <family val="2"/>
      </rPr>
      <t>Reserving Accessory Grains</t>
    </r>
    <r>
      <rPr>
        <sz val="10"/>
        <rFont val="Arial"/>
        <family val="2"/>
      </rPr>
      <t xml:space="preserve">: Since Crystal and Roast malts may have higher degree of acidity, some brewers may reserve either of these grains from the main mash to avoid depressing the pH of the main mash.  The </t>
    </r>
    <r>
      <rPr>
        <b/>
        <sz val="10"/>
        <rFont val="Arial"/>
        <family val="2"/>
      </rPr>
      <t>Grain Bill Input</t>
    </r>
    <r>
      <rPr>
        <sz val="10"/>
        <rFont val="Arial"/>
        <family val="2"/>
      </rPr>
      <t xml:space="preserve"> sheet includes selection cells that allow the brewer to see the mash pH effect of removing either the Crystal or Roast malts from the main mash.  This technique may allow the brewer to avoid adding alkalinity to the mashing water.  The cells ask if you want to remove either of those grain types from the main mash with either </t>
    </r>
    <r>
      <rPr>
        <b/>
        <sz val="10"/>
        <rFont val="Arial"/>
        <family val="2"/>
      </rPr>
      <t>YES</t>
    </r>
    <r>
      <rPr>
        <sz val="10"/>
        <rFont val="Arial"/>
        <family val="2"/>
      </rPr>
      <t xml:space="preserve"> or </t>
    </r>
    <r>
      <rPr>
        <b/>
        <sz val="10"/>
        <rFont val="Arial"/>
        <family val="2"/>
      </rPr>
      <t>NO</t>
    </r>
    <r>
      <rPr>
        <sz val="10"/>
        <rFont val="Arial"/>
        <family val="2"/>
      </rPr>
      <t xml:space="preserve"> selections. Click those cells to display their drop-down boxes. When using Excel to run Bru'n Water, those cells turn </t>
    </r>
    <r>
      <rPr>
        <b/>
        <sz val="10"/>
        <color indexed="10"/>
        <rFont val="Arial"/>
        <family val="2"/>
      </rPr>
      <t>RED</t>
    </r>
    <r>
      <rPr>
        <sz val="10"/>
        <rFont val="Arial"/>
        <family val="2"/>
      </rPr>
      <t xml:space="preserve"> to alert the brewer that those grains should be reserved from main mash.   In general, reserving these malts from the main mash or separately mashing them is useful when the water has low to very low alkalinity. Be aware that this technique can still result in lower than desired kettle wort pH. Additional alkalinity may be required to keep kettle wort pH from dropping too low.  </t>
    </r>
  </si>
  <si>
    <r>
      <t xml:space="preserve">The results of the analyses are summarized as the </t>
    </r>
    <r>
      <rPr>
        <b/>
        <sz val="10"/>
        <rFont val="Arial"/>
        <family val="2"/>
      </rPr>
      <t xml:space="preserve">Mash pH. </t>
    </r>
    <r>
      <rPr>
        <sz val="10"/>
        <rFont val="Arial"/>
        <family val="2"/>
      </rPr>
      <t xml:space="preserve">If the mash pH falls well outside the preferred range,  </t>
    </r>
    <r>
      <rPr>
        <b/>
        <sz val="10"/>
        <rFont val="Arial"/>
        <family val="2"/>
      </rPr>
      <t xml:space="preserve">BE SURE THAT ALL THE CORRECT GRAIN TYPE SELECTIONS ARE MADE FOR EACH GRAIN LISTING.  IT MAKES A BIG DIFFERENCE IN THE RESULTS!  </t>
    </r>
    <r>
      <rPr>
        <sz val="10"/>
        <rFont val="Arial"/>
        <family val="2"/>
      </rPr>
      <t xml:space="preserve">When using Excel to run Bru'n Water, the </t>
    </r>
    <r>
      <rPr>
        <b/>
        <sz val="10"/>
        <rFont val="Arial"/>
        <family val="2"/>
      </rPr>
      <t>Estimated Mash pH</t>
    </r>
    <r>
      <rPr>
        <sz val="10"/>
        <rFont val="Arial"/>
        <family val="2"/>
      </rPr>
      <t xml:space="preserve"> cell color changes from </t>
    </r>
    <r>
      <rPr>
        <b/>
        <sz val="10"/>
        <color indexed="10"/>
        <rFont val="Arial"/>
        <family val="2"/>
      </rPr>
      <t>RED</t>
    </r>
    <r>
      <rPr>
        <sz val="10"/>
        <rFont val="Arial"/>
        <family val="2"/>
      </rPr>
      <t xml:space="preserve"> to </t>
    </r>
    <r>
      <rPr>
        <b/>
        <sz val="10"/>
        <color indexed="51"/>
        <rFont val="Arial"/>
        <family val="2"/>
      </rPr>
      <t>ORANGE</t>
    </r>
    <r>
      <rPr>
        <sz val="10"/>
        <rFont val="Arial"/>
        <family val="2"/>
      </rPr>
      <t xml:space="preserve"> to </t>
    </r>
    <r>
      <rPr>
        <b/>
        <sz val="10"/>
        <color indexed="17"/>
        <rFont val="Arial"/>
        <family val="2"/>
      </rPr>
      <t>GREEN</t>
    </r>
    <r>
      <rPr>
        <sz val="10"/>
        <rFont val="Arial"/>
        <family val="2"/>
      </rPr>
      <t xml:space="preserve"> to indicate to the brewer the deviation in the result from the suggested range. </t>
    </r>
  </si>
  <si>
    <r>
      <rPr>
        <b/>
        <sz val="10"/>
        <rFont val="Arial"/>
        <family val="2"/>
      </rPr>
      <t>Estimated Mash pH</t>
    </r>
    <r>
      <rPr>
        <sz val="10"/>
        <rFont val="Arial"/>
        <family val="2"/>
      </rPr>
      <t xml:space="preserve"> is provided on both the </t>
    </r>
    <r>
      <rPr>
        <b/>
        <sz val="10"/>
        <rFont val="Arial"/>
        <family val="2"/>
      </rPr>
      <t xml:space="preserve">Water Adjustment </t>
    </r>
    <r>
      <rPr>
        <sz val="10"/>
        <rFont val="Arial"/>
        <family val="2"/>
      </rPr>
      <t xml:space="preserve">and </t>
    </r>
    <r>
      <rPr>
        <b/>
        <sz val="10"/>
        <rFont val="Arial"/>
        <family val="2"/>
      </rPr>
      <t>Grain Bill Input</t>
    </r>
    <r>
      <rPr>
        <sz val="10"/>
        <rFont val="Arial"/>
        <family val="2"/>
      </rPr>
      <t xml:space="preserve"> sheets to allow the brewer to quickly assess the effect of the water adjustments on the mash.  The estimated pH value is identical on both sheets. This pH estimate is not valid until the grain additions are properly entered on the </t>
    </r>
    <r>
      <rPr>
        <b/>
        <sz val="10"/>
        <rFont val="Arial"/>
        <family val="2"/>
      </rPr>
      <t>Grain Bill Input</t>
    </r>
    <r>
      <rPr>
        <sz val="10"/>
        <rFont val="Arial"/>
        <family val="2"/>
      </rPr>
      <t xml:space="preserve"> sheet.  When using Excel to run Bru'n Water, the color of the pH estimate cell changes color from </t>
    </r>
    <r>
      <rPr>
        <b/>
        <sz val="10"/>
        <color indexed="10"/>
        <rFont val="Arial"/>
        <family val="2"/>
      </rPr>
      <t>RED</t>
    </r>
    <r>
      <rPr>
        <sz val="10"/>
        <rFont val="Arial"/>
        <family val="2"/>
      </rPr>
      <t xml:space="preserve"> to </t>
    </r>
    <r>
      <rPr>
        <b/>
        <sz val="10"/>
        <color indexed="51"/>
        <rFont val="Arial"/>
        <family val="2"/>
      </rPr>
      <t>ORANGE</t>
    </r>
    <r>
      <rPr>
        <sz val="10"/>
        <rFont val="Arial"/>
        <family val="2"/>
      </rPr>
      <t xml:space="preserve"> to </t>
    </r>
    <r>
      <rPr>
        <b/>
        <sz val="10"/>
        <color indexed="17"/>
        <rFont val="Arial"/>
        <family val="2"/>
      </rPr>
      <t>GREEN</t>
    </r>
    <r>
      <rPr>
        <sz val="10"/>
        <rFont val="Arial"/>
        <family val="2"/>
      </rPr>
      <t xml:space="preserve"> to help alert the brewer if their pH result is in range.  </t>
    </r>
  </si>
  <si>
    <r>
      <t>The variation of Dry, Balanced, and Full water profiles generally reflect the relative content of sulfate (SO</t>
    </r>
    <r>
      <rPr>
        <vertAlign val="subscript"/>
        <sz val="10"/>
        <rFont val="Arial"/>
        <family val="2"/>
      </rPr>
      <t>4</t>
    </r>
    <r>
      <rPr>
        <sz val="10"/>
        <rFont val="Arial"/>
        <family val="2"/>
      </rPr>
      <t>) and chloride (Cl) in the water profile.  Select the water profile that generally meets your taste goal.  As an example, a hoppy American style may benefit from a bitter water profile while a sweeter German style may benefit from a malty water profile.  The concept of this sulfate/chloride ratio was modified from the Handbook of Brewing, Priest &amp; Stewart, 2006 and the water chapter by David Taylor.  This concept assumes that chloride accentuates malt and sweetness and sulfate accentuates dryness and bitterness.   Therefore, the ratio of these ions is used as an indicator of the sweetness or bitterness perception of the finished beer.  The following table describes the flavor perception and sulfate/chloride ratio that may promote that perception.  Although this ratio has merit, the ratio is most applicable when the chloride concentration is between about 25 and 100 ppm.  When the chloride concentration is less than about 25 ppm, the ratio starts to become meaningless due to the low concentrations and flavor contributions.  100 ppm is an appropriate upper chloride limit to avoid creating over-mineralized water.  In strongly bittered profiles such as Burton or Pale Ale profiles, the sulfate concentration may exceed 100 ppm, but the chloride concentration should be kept below 100 ppm.  When using Excel to run Bru'n Water, the SO</t>
    </r>
    <r>
      <rPr>
        <vertAlign val="subscript"/>
        <sz val="10"/>
        <rFont val="Arial"/>
        <family val="2"/>
      </rPr>
      <t>4</t>
    </r>
    <r>
      <rPr>
        <sz val="10"/>
        <rFont val="Arial"/>
        <family val="2"/>
      </rPr>
      <t xml:space="preserve">/Cl output cell on the </t>
    </r>
    <r>
      <rPr>
        <b/>
        <sz val="10"/>
        <rFont val="Arial"/>
        <family val="2"/>
      </rPr>
      <t>Water Adjustment</t>
    </r>
    <r>
      <rPr>
        <sz val="10"/>
        <rFont val="Arial"/>
        <family val="2"/>
      </rPr>
      <t xml:space="preserve"> sheet turns from </t>
    </r>
    <r>
      <rPr>
        <b/>
        <sz val="10"/>
        <color indexed="13"/>
        <rFont val="Arial"/>
        <family val="2"/>
      </rPr>
      <t>YELLOW</t>
    </r>
    <r>
      <rPr>
        <b/>
        <sz val="10"/>
        <rFont val="Arial"/>
        <family val="2"/>
      </rPr>
      <t xml:space="preserve"> </t>
    </r>
    <r>
      <rPr>
        <sz val="10"/>
        <rFont val="Arial"/>
        <family val="2"/>
      </rPr>
      <t xml:space="preserve">to </t>
    </r>
    <r>
      <rPr>
        <b/>
        <sz val="10"/>
        <color indexed="52"/>
        <rFont val="Arial"/>
        <family val="2"/>
      </rPr>
      <t>ORANGE</t>
    </r>
    <r>
      <rPr>
        <sz val="10"/>
        <rFont val="Arial"/>
        <family val="2"/>
      </rPr>
      <t xml:space="preserve"> to help alert the brewer that the chloride level is excessive and the ratio may not be useful.  A text warning is also displayed to warn the brewer that the ratio may not be valid.</t>
    </r>
  </si>
  <si>
    <r>
      <t xml:space="preserve">Mineral and acid additions to Mash and Sparge Water are calculated for their water volumes and shown on the </t>
    </r>
    <r>
      <rPr>
        <b/>
        <sz val="10"/>
        <rFont val="Arial"/>
        <family val="2"/>
      </rPr>
      <t>Water Adjustment</t>
    </r>
    <r>
      <rPr>
        <sz val="10"/>
        <rFont val="Arial"/>
        <family val="2"/>
      </rPr>
      <t xml:space="preserve"> sheet.  Sparge additions should not include the alkalinity increasing minerals (Baking Soda, Chalk, &amp; Pickling Lime) since alkalinity is not needed or desirable in the sparge water. When using Excel to run Bru'n Water, the cells for acids and alkalinity increasing minerals will turn </t>
    </r>
    <r>
      <rPr>
        <b/>
        <sz val="10"/>
        <color indexed="10"/>
        <rFont val="Arial"/>
        <family val="2"/>
      </rPr>
      <t xml:space="preserve">Red </t>
    </r>
    <r>
      <rPr>
        <sz val="10"/>
        <rFont val="Arial"/>
        <family val="2"/>
      </rPr>
      <t xml:space="preserve">if both acids and bases are both entered for the mash. Since those materials counteract each other, the brewer should avoid adding both. Remove one of the materials and reduce the quantity of the other to avoid adding both materials. If the grain bill includes Acid malt and an alkalinity increasing mineral is added to the mashing water, the cells will also turn </t>
    </r>
    <r>
      <rPr>
        <b/>
        <sz val="10"/>
        <color indexed="10"/>
        <rFont val="Arial"/>
        <family val="2"/>
      </rPr>
      <t xml:space="preserve">Red </t>
    </r>
    <r>
      <rPr>
        <sz val="10"/>
        <rFont val="Arial"/>
        <family val="2"/>
      </rPr>
      <t xml:space="preserve">to warn the brewer. </t>
    </r>
  </si>
  <si>
    <r>
      <t xml:space="preserve">The sheet includes information on the total mineral and acid quantities needed for both the mashing and sparging water.  The estimated mash pH is also shown.  The mash pH cell changes color to signal how the estimated pH compares to the optimum range (5.3 to 5.5).  When using Excel to run Bru'n Water, the cell is </t>
    </r>
    <r>
      <rPr>
        <b/>
        <sz val="10"/>
        <color indexed="17"/>
        <rFont val="Arial"/>
        <family val="2"/>
      </rPr>
      <t>GREEN</t>
    </r>
    <r>
      <rPr>
        <sz val="10"/>
        <rFont val="Arial"/>
        <family val="2"/>
      </rPr>
      <t xml:space="preserve"> when the estimated pH is within that range and </t>
    </r>
    <r>
      <rPr>
        <b/>
        <sz val="10"/>
        <color indexed="51"/>
        <rFont val="Arial"/>
        <family val="2"/>
      </rPr>
      <t>ORANGE</t>
    </r>
    <r>
      <rPr>
        <sz val="10"/>
        <rFont val="Arial"/>
        <family val="2"/>
      </rPr>
      <t xml:space="preserve"> when just outside that range.  The cell turns </t>
    </r>
    <r>
      <rPr>
        <b/>
        <sz val="10"/>
        <color indexed="10"/>
        <rFont val="Arial"/>
        <family val="2"/>
      </rPr>
      <t>RED</t>
    </r>
    <r>
      <rPr>
        <sz val="10"/>
        <rFont val="Arial"/>
        <family val="2"/>
      </rPr>
      <t xml:space="preserve"> when the estimated pH falls outside the recommended range of 5.2 to 5.8.   </t>
    </r>
  </si>
  <si>
    <r>
      <t xml:space="preserve">           Martin Brungard is a civil and environmental engineer with over 30 years of professional experience.  His practice area focuses on water resources engineering and he has been named a Diplomate of Water Resources Engineering by the American Academy of Water Resources Engineers.  His engineering practice includes providing engineering consulting services to municipalities and major and craft brewers across the United States.  Martin provides consulting services to brewery clients through his Bru'n Solutions company which is found at </t>
    </r>
    <r>
      <rPr>
        <b/>
        <sz val="10"/>
        <rFont val="Arial"/>
        <family val="2"/>
      </rPr>
      <t>www.Brunsolutions.com</t>
    </r>
    <r>
      <rPr>
        <sz val="10"/>
        <rFont val="Arial"/>
        <family val="2"/>
      </rPr>
      <t>.  He has been homebrewing since 1999, is a member of the American Homebrewers Association, and has attained the rank of National Judge from the Beer Judge Certification Program (BJCP).  Comments and concerns regarding this program may be sent to the author at the link below</t>
    </r>
  </si>
  <si>
    <t>Instructions:</t>
  </si>
  <si>
    <t xml:space="preserve">   Saving Data:</t>
  </si>
  <si>
    <t xml:space="preserve">      Assign unique name to Batch on Grain Bill Input sheet </t>
  </si>
  <si>
    <t xml:space="preserve">      After all data is satisfactorily entered into sheets, </t>
  </si>
  <si>
    <t xml:space="preserve">   Erasing Data:</t>
  </si>
  <si>
    <r>
      <t xml:space="preserve">     Find the name of the dataset that you want to erase in </t>
    </r>
    <r>
      <rPr>
        <b/>
        <sz val="10"/>
        <rFont val="Arial"/>
        <family val="2"/>
      </rPr>
      <t>Column E</t>
    </r>
  </si>
  <si>
    <r>
      <t xml:space="preserve">     Erase that name from </t>
    </r>
    <r>
      <rPr>
        <b/>
        <sz val="10"/>
        <rFont val="Arial"/>
        <family val="2"/>
      </rPr>
      <t>Column E</t>
    </r>
    <r>
      <rPr>
        <sz val="10"/>
        <rFont val="Arial"/>
        <family val="2"/>
      </rPr>
      <t>.</t>
    </r>
  </si>
  <si>
    <t xml:space="preserve">     Any data in the columns to the right of Column E will be </t>
  </si>
  <si>
    <t xml:space="preserve">     overwritten by new data upon the next SAVE.</t>
  </si>
  <si>
    <t xml:space="preserve">   Reloading Data:</t>
  </si>
  <si>
    <t xml:space="preserve">      it is probably safer to reload the data and edit it in the</t>
  </si>
  <si>
    <t xml:space="preserve">      regular program and then resave it. </t>
  </si>
  <si>
    <r>
      <t xml:space="preserve">     Click the </t>
    </r>
    <r>
      <rPr>
        <b/>
        <sz val="10"/>
        <rFont val="Arial"/>
        <family val="2"/>
      </rPr>
      <t>RELOAD</t>
    </r>
    <r>
      <rPr>
        <sz val="10"/>
        <rFont val="Arial"/>
        <family val="2"/>
      </rPr>
      <t xml:space="preserve"> button to enter that dataset in the program.</t>
    </r>
  </si>
  <si>
    <t>Dublin water source used by Guinness</t>
  </si>
  <si>
    <t>Estimated Carbonate Concentration (ppm)</t>
  </si>
  <si>
    <t>Percentage of Grain Bill</t>
  </si>
  <si>
    <t>Hover cursor over cells w/ red corner marks to display information</t>
  </si>
  <si>
    <t>Hover cursor over cells w/ red corner marks to display helpful information</t>
  </si>
  <si>
    <r>
      <t xml:space="preserve">     Select the </t>
    </r>
    <r>
      <rPr>
        <b/>
        <sz val="10"/>
        <rFont val="Arial"/>
        <family val="2"/>
      </rPr>
      <t>Batch Name</t>
    </r>
    <r>
      <rPr>
        <sz val="10"/>
        <rFont val="Arial"/>
        <family val="2"/>
      </rPr>
      <t xml:space="preserve"> from the Pink drop-down box.</t>
    </r>
  </si>
  <si>
    <t xml:space="preserve">      Data can be edited in the Light Blue cells to the right. However,</t>
  </si>
  <si>
    <t xml:space="preserve"> Hover cursor over cells w/ red corner marks to display helpful information</t>
  </si>
  <si>
    <t>20 to 150</t>
  </si>
  <si>
    <r>
      <t>Recommendations for Sparging Water:</t>
    </r>
    <r>
      <rPr>
        <sz val="8"/>
        <rFont val="Arial"/>
        <family val="2"/>
      </rPr>
      <t xml:space="preserve">  Low to moderate alkalinity is desirable for Sparging Water. </t>
    </r>
    <r>
      <rPr>
        <b/>
        <sz val="8"/>
        <rFont val="Arial"/>
        <family val="2"/>
      </rPr>
      <t xml:space="preserve"> DO NOT add minerals such as chalk, baking soda, or pickling lime to sparging water </t>
    </r>
    <r>
      <rPr>
        <sz val="8"/>
        <rFont val="Arial"/>
        <family val="2"/>
      </rPr>
      <t>since these minerals increase water alkalinity.  Sparging water is acidified to reduce pH and alkalinity.   An alternative to adding these alkalinity increasing minerals is to increase the addition of calcium- or sodium-containing minerals (gypsum, calcium chloride, table salt) to compensate for the deletion of chalk, baking soda, or pickling lime from the sparging water mineral additions.  Another option to avoid adding these alkalinity producing minerals to the sparging water is to reserve these minerals additions from the sparging water and add them directly to the kettle.</t>
    </r>
  </si>
  <si>
    <r>
      <t xml:space="preserve">Copy the </t>
    </r>
    <r>
      <rPr>
        <b/>
        <sz val="10"/>
        <rFont val="Arial"/>
        <family val="2"/>
      </rPr>
      <t>Gray</t>
    </r>
    <r>
      <rPr>
        <sz val="10"/>
        <rFont val="Arial"/>
        <family val="2"/>
      </rPr>
      <t xml:space="preserve"> highlighted area below and paste into email, documents, brewing program notes (Beersmith, Promash), or web pages to communicate Water Adjustments.  The data is formatted to look OK when copied and pasted as </t>
    </r>
    <r>
      <rPr>
        <b/>
        <sz val="10"/>
        <color indexed="10"/>
        <rFont val="Arial"/>
        <family val="2"/>
      </rPr>
      <t>TEXT</t>
    </r>
    <r>
      <rPr>
        <sz val="10"/>
        <rFont val="Arial"/>
        <family val="2"/>
      </rPr>
      <t xml:space="preserve"> into documents and web pages (select </t>
    </r>
    <r>
      <rPr>
        <b/>
        <sz val="10"/>
        <rFont val="Arial"/>
        <family val="2"/>
      </rPr>
      <t>Paste Special</t>
    </r>
    <r>
      <rPr>
        <sz val="10"/>
        <rFont val="Arial"/>
        <family val="2"/>
      </rPr>
      <t xml:space="preserve"> to find options for pasting as </t>
    </r>
    <r>
      <rPr>
        <b/>
        <sz val="10"/>
        <color indexed="10"/>
        <rFont val="Arial"/>
        <family val="2"/>
      </rPr>
      <t>TEXT</t>
    </r>
    <r>
      <rPr>
        <sz val="10"/>
        <rFont val="Arial"/>
        <family val="2"/>
      </rPr>
      <t xml:space="preserve"> instead of HTML). Shifting of some lines may still be needed. </t>
    </r>
  </si>
  <si>
    <r>
      <rPr>
        <sz val="10"/>
        <rFont val="Arial"/>
        <family val="2"/>
      </rPr>
      <t xml:space="preserve">1. Knowing your Existing Water is a key requirement for assessing how to adjust it.  Input the ion content of the existing water source on the </t>
    </r>
    <r>
      <rPr>
        <b/>
        <sz val="10"/>
        <rFont val="Arial"/>
        <family val="2"/>
      </rPr>
      <t xml:space="preserve">Water Report Input </t>
    </r>
    <r>
      <rPr>
        <sz val="10"/>
        <rFont val="Arial"/>
        <family val="2"/>
      </rPr>
      <t xml:space="preserve">sheet.  </t>
    </r>
  </si>
  <si>
    <r>
      <rPr>
        <sz val="10"/>
        <rFont val="Arial"/>
        <family val="2"/>
      </rPr>
      <t xml:space="preserve">3. All sparging Water must have </t>
    </r>
    <r>
      <rPr>
        <b/>
        <sz val="10"/>
        <rFont val="Arial"/>
        <family val="2"/>
      </rPr>
      <t>low</t>
    </r>
    <r>
      <rPr>
        <sz val="10"/>
        <rFont val="Arial"/>
        <family val="2"/>
      </rPr>
      <t xml:space="preserve"> alkalinity. If your water source has moderate to high alkalinity, that water must be acidified to reduce its alkalinity.  The alkalinity of the tap water is calculated from the information input on the </t>
    </r>
    <r>
      <rPr>
        <b/>
        <sz val="10"/>
        <rFont val="Arial"/>
        <family val="2"/>
      </rPr>
      <t>Water Report Input</t>
    </r>
    <r>
      <rPr>
        <sz val="10"/>
        <rFont val="Arial"/>
        <family val="2"/>
      </rPr>
      <t xml:space="preserve"> sheet and copied to the </t>
    </r>
    <r>
      <rPr>
        <b/>
        <sz val="10"/>
        <rFont val="Arial"/>
        <family val="2"/>
      </rPr>
      <t>Sparge Acidification</t>
    </r>
    <r>
      <rPr>
        <sz val="10"/>
        <rFont val="Arial"/>
        <family val="2"/>
      </rPr>
      <t xml:space="preserve"> sheet.  It is used to calculate the amount of acid needed to bring the Sparging Water pH and Alkalinity down to a proper level.  </t>
    </r>
  </si>
  <si>
    <r>
      <t xml:space="preserve">4. The water profile used for brewing should be adjusted to produce a proper mash pH and produce desirable beer taste.  Select a target brewing water profile on the </t>
    </r>
    <r>
      <rPr>
        <b/>
        <sz val="10"/>
        <rFont val="Arial"/>
        <family val="2"/>
      </rPr>
      <t xml:space="preserve">Water Adjustment </t>
    </r>
    <r>
      <rPr>
        <sz val="10"/>
        <rFont val="Arial"/>
        <family val="2"/>
      </rPr>
      <t xml:space="preserve">sheet and experiment with mineral and acid additions and/or water dilution to produce that desired water profile.  </t>
    </r>
    <r>
      <rPr>
        <b/>
        <sz val="10"/>
        <rFont val="Arial"/>
        <family val="2"/>
      </rPr>
      <t>An exact match is NOT required</t>
    </r>
    <r>
      <rPr>
        <sz val="10"/>
        <rFont val="Arial"/>
        <family val="2"/>
      </rPr>
      <t xml:space="preserve"> between your adjusted water and the suggested water profiles.  Getting within +/-10 ppm of the target should be OK.  DO NOT TARGET the bicarbonate value shown in water profiles. The bicarbonate content shown for the water profile is only a </t>
    </r>
    <r>
      <rPr>
        <b/>
        <sz val="10"/>
        <color indexed="10"/>
        <rFont val="Arial"/>
        <family val="2"/>
      </rPr>
      <t>FIRST-GUESS</t>
    </r>
    <r>
      <rPr>
        <sz val="10"/>
        <rFont val="Arial"/>
        <family val="2"/>
      </rPr>
      <t xml:space="preserve">.  You don't need to achieve that exact value, but it is likely to be close.  The bicarbonate content of your mashing water may be higher or lower than the value shown in the water profile.  </t>
    </r>
    <r>
      <rPr>
        <b/>
        <sz val="10"/>
        <color indexed="10"/>
        <rFont val="Arial"/>
        <family val="2"/>
      </rPr>
      <t>Adjust the bicarbonate value as needed to produce your desired mash pH.</t>
    </r>
    <r>
      <rPr>
        <sz val="10"/>
        <color indexed="10"/>
        <rFont val="Arial"/>
        <family val="2"/>
      </rPr>
      <t xml:space="preserve"> </t>
    </r>
    <r>
      <rPr>
        <sz val="10"/>
        <rFont val="Arial"/>
        <family val="2"/>
      </rPr>
      <t xml:space="preserve"> The final bicarbonate content of the mashing water may vary based on the acidity of your grain bill.  </t>
    </r>
  </si>
  <si>
    <r>
      <t xml:space="preserve">6. Because the water profiles on the </t>
    </r>
    <r>
      <rPr>
        <b/>
        <sz val="10"/>
        <rFont val="Arial"/>
        <family val="2"/>
      </rPr>
      <t xml:space="preserve">Water Adjustment </t>
    </r>
    <r>
      <rPr>
        <sz val="10"/>
        <rFont val="Arial"/>
        <family val="2"/>
      </rPr>
      <t xml:space="preserve">sheet may not always produce a good mash pH, minor adjustment of the bicarbonate content of those water profiles may be needed.  Check the resulting </t>
    </r>
    <r>
      <rPr>
        <b/>
        <sz val="10"/>
        <rFont val="Arial"/>
        <family val="2"/>
      </rPr>
      <t>Estimated Mash pH</t>
    </r>
    <r>
      <rPr>
        <sz val="10"/>
        <rFont val="Arial"/>
        <family val="2"/>
      </rPr>
      <t xml:space="preserve"> on either the </t>
    </r>
    <r>
      <rPr>
        <b/>
        <sz val="10"/>
        <rFont val="Arial"/>
        <family val="2"/>
      </rPr>
      <t>Grain Bill Input</t>
    </r>
    <r>
      <rPr>
        <sz val="10"/>
        <rFont val="Arial"/>
        <family val="2"/>
      </rPr>
      <t xml:space="preserve"> or </t>
    </r>
    <r>
      <rPr>
        <b/>
        <sz val="10"/>
        <rFont val="Arial"/>
        <family val="2"/>
      </rPr>
      <t>Water Adjustment</t>
    </r>
    <r>
      <rPr>
        <sz val="10"/>
        <rFont val="Arial"/>
        <family val="2"/>
      </rPr>
      <t xml:space="preserve"> sheets.  If the pH is lower than desired, increase the bicarbonate content of the mashing water on the </t>
    </r>
    <r>
      <rPr>
        <b/>
        <sz val="10"/>
        <rFont val="Arial"/>
        <family val="2"/>
      </rPr>
      <t xml:space="preserve">Water Adjustment </t>
    </r>
    <r>
      <rPr>
        <sz val="10"/>
        <rFont val="Arial"/>
        <family val="2"/>
      </rPr>
      <t>sheet.  If the pH is higher than desired, reduce the bicarbonate content.  Adjust the mashing water ion concentrations until the desired mash pH is predicted.</t>
    </r>
  </si>
  <si>
    <r>
      <t xml:space="preserve">The program is set up with color-coded cells to aid and direct the brewer.  </t>
    </r>
    <r>
      <rPr>
        <b/>
        <sz val="10"/>
        <color indexed="12"/>
        <rFont val="Arial"/>
        <family val="2"/>
      </rPr>
      <t>Blue</t>
    </r>
    <r>
      <rPr>
        <sz val="10"/>
        <rFont val="Arial"/>
        <family val="2"/>
      </rPr>
      <t xml:space="preserve"> colored cells accept brewer input. </t>
    </r>
    <r>
      <rPr>
        <sz val="10"/>
        <color indexed="13"/>
        <rFont val="Arial"/>
        <family val="2"/>
      </rPr>
      <t xml:space="preserve"> </t>
    </r>
    <r>
      <rPr>
        <b/>
        <sz val="10"/>
        <color indexed="51"/>
        <rFont val="Arial"/>
        <family val="2"/>
      </rPr>
      <t>Yellow</t>
    </r>
    <r>
      <rPr>
        <sz val="10"/>
        <rFont val="Arial"/>
        <family val="2"/>
      </rPr>
      <t xml:space="preserve"> colored cells present calculated data and results. </t>
    </r>
    <r>
      <rPr>
        <b/>
        <sz val="10"/>
        <color indexed="45"/>
        <rFont val="Arial"/>
        <family val="2"/>
      </rPr>
      <t>Pink</t>
    </r>
    <r>
      <rPr>
        <sz val="10"/>
        <rFont val="Arial"/>
        <family val="2"/>
      </rPr>
      <t xml:space="preserve"> cells contain drop-down selection boxes. Many cells within each sheet contain informational comments that help the brewer understand the inputs and results.  Cells with comments have a small </t>
    </r>
    <r>
      <rPr>
        <b/>
        <sz val="10"/>
        <color indexed="10"/>
        <rFont val="Arial"/>
        <family val="2"/>
      </rPr>
      <t>red</t>
    </r>
    <r>
      <rPr>
        <sz val="10"/>
        <rFont val="Arial"/>
        <family val="2"/>
      </rPr>
      <t xml:space="preserve"> </t>
    </r>
    <r>
      <rPr>
        <b/>
        <sz val="10"/>
        <color indexed="10"/>
        <rFont val="Arial"/>
        <family val="2"/>
      </rPr>
      <t>mark</t>
    </r>
    <r>
      <rPr>
        <sz val="10"/>
        <rFont val="Arial"/>
        <family val="2"/>
      </rPr>
      <t xml:space="preserve"> in their right upper corner.  Hover the cursor over cells to see the informational comments.  When using Excel to run </t>
    </r>
    <r>
      <rPr>
        <b/>
        <sz val="10"/>
        <rFont val="Arial"/>
        <family val="2"/>
      </rPr>
      <t>Bru'n Water</t>
    </r>
    <r>
      <rPr>
        <sz val="10"/>
        <rFont val="Arial"/>
        <family val="2"/>
      </rPr>
      <t xml:space="preserve">, some cells will change their color to </t>
    </r>
    <r>
      <rPr>
        <b/>
        <sz val="10"/>
        <color indexed="17"/>
        <rFont val="Arial"/>
        <family val="2"/>
      </rPr>
      <t>Green</t>
    </r>
    <r>
      <rPr>
        <sz val="10"/>
        <rFont val="Arial"/>
        <family val="2"/>
      </rPr>
      <t xml:space="preserve"> when inputs are within recommended tolerance and some cells will turn </t>
    </r>
    <r>
      <rPr>
        <b/>
        <sz val="10"/>
        <color indexed="10"/>
        <rFont val="Arial"/>
        <family val="2"/>
      </rPr>
      <t>Red</t>
    </r>
    <r>
      <rPr>
        <sz val="10"/>
        <rFont val="Arial"/>
        <family val="2"/>
      </rPr>
      <t xml:space="preserve"> if potentially incorrect or problematic input or result is provided.  </t>
    </r>
    <r>
      <rPr>
        <b/>
        <sz val="10"/>
        <rFont val="Arial"/>
        <family val="2"/>
      </rPr>
      <t xml:space="preserve">If the sheet does not show comments or red corner marks, select the REVIEW tab in the Excel program menu and click the SHOW ALL COMMENTS </t>
    </r>
    <r>
      <rPr>
        <sz val="10"/>
        <rFont val="Arial"/>
        <family val="2"/>
      </rPr>
      <t>button twice.</t>
    </r>
  </si>
  <si>
    <r>
      <t>Select the volume units used in the brewery for</t>
    </r>
    <r>
      <rPr>
        <b/>
        <sz val="10"/>
        <rFont val="Arial"/>
        <family val="2"/>
      </rPr>
      <t xml:space="preserve"> Bru'n Water</t>
    </r>
    <r>
      <rPr>
        <sz val="10"/>
        <rFont val="Arial"/>
        <family val="2"/>
      </rPr>
      <t xml:space="preserve">.  The </t>
    </r>
    <r>
      <rPr>
        <b/>
        <sz val="10"/>
        <color indexed="45"/>
        <rFont val="Arial"/>
        <family val="2"/>
      </rPr>
      <t>Pink</t>
    </r>
    <r>
      <rPr>
        <sz val="10"/>
        <rFont val="Arial"/>
        <family val="2"/>
      </rPr>
      <t xml:space="preserve"> drop-down box is used to select the volume units used throughout the program.  Both U.S. and S.I. units are available in homebrewing and craftbrewing sizes. (Gallons and Barrels, or Liters and Hectoliters)</t>
    </r>
  </si>
  <si>
    <r>
      <t>Optional Inputs</t>
    </r>
    <r>
      <rPr>
        <sz val="10"/>
        <rFont val="Arial"/>
        <family val="2"/>
      </rPr>
      <t xml:space="preserve"> (not required, but may improve ion balance)</t>
    </r>
  </si>
  <si>
    <r>
      <t xml:space="preserve">The ion concentrations that were entered on the </t>
    </r>
    <r>
      <rPr>
        <b/>
        <sz val="10"/>
        <rFont val="Arial"/>
        <family val="2"/>
      </rPr>
      <t>Water Report Input</t>
    </r>
    <r>
      <rPr>
        <sz val="10"/>
        <rFont val="Arial"/>
        <family val="2"/>
      </rPr>
      <t xml:space="preserve"> sheet are automatically entered in the </t>
    </r>
    <r>
      <rPr>
        <b/>
        <sz val="10"/>
        <rFont val="Arial"/>
        <family val="2"/>
      </rPr>
      <t>Water Adjustment</t>
    </r>
    <r>
      <rPr>
        <sz val="10"/>
        <rFont val="Arial"/>
        <family val="2"/>
      </rPr>
      <t xml:space="preserve"> sheet.  If the water source is fairly stable, the brewer may not need to adjust the </t>
    </r>
    <r>
      <rPr>
        <b/>
        <sz val="10"/>
        <rFont val="Arial"/>
        <family val="2"/>
      </rPr>
      <t>Water Report Input</t>
    </r>
    <r>
      <rPr>
        <sz val="10"/>
        <rFont val="Arial"/>
        <family val="2"/>
      </rPr>
      <t xml:space="preserve"> page in the future.  Saving the program with those values on the </t>
    </r>
    <r>
      <rPr>
        <b/>
        <sz val="10"/>
        <rFont val="Arial"/>
        <family val="2"/>
      </rPr>
      <t>Water Report Input</t>
    </r>
    <r>
      <rPr>
        <sz val="10"/>
        <rFont val="Arial"/>
        <family val="2"/>
      </rPr>
      <t xml:space="preserve"> sheet will speed the future use of the program.  </t>
    </r>
  </si>
  <si>
    <r>
      <t xml:space="preserve">Proceed to the </t>
    </r>
    <r>
      <rPr>
        <b/>
        <sz val="10"/>
        <rFont val="Arial"/>
        <family val="2"/>
      </rPr>
      <t>Sparge Acidification</t>
    </r>
    <r>
      <rPr>
        <sz val="10"/>
        <rFont val="Arial"/>
        <family val="2"/>
      </rPr>
      <t xml:space="preserve"> sheet to calculate the quantity of acid needed to properly adjust water alkalinity for sparging.</t>
    </r>
  </si>
  <si>
    <t>**Things to Check when your Water Report does not balance**</t>
  </si>
  <si>
    <r>
      <t xml:space="preserve">Acidification of brewing water to reduce alkalinity can be difficult to perform accurately without a good tool.  The adjustment of sparging water alkalinity is important for producing good brewing results.   Proper pH and temperature of sparging water will help reduce tannin extraction.   The </t>
    </r>
    <r>
      <rPr>
        <b/>
        <sz val="10"/>
        <rFont val="Arial"/>
        <family val="2"/>
      </rPr>
      <t>recommended maximums for pH and temperature</t>
    </r>
    <r>
      <rPr>
        <sz val="10"/>
        <rFont val="Arial"/>
        <family val="2"/>
      </rPr>
      <t xml:space="preserve"> of sparging water to reduce tannin and silicate extraction are </t>
    </r>
    <r>
      <rPr>
        <b/>
        <sz val="10"/>
        <rFont val="Arial"/>
        <family val="2"/>
      </rPr>
      <t>6.0 and 170F (76C)</t>
    </r>
    <r>
      <rPr>
        <sz val="10"/>
        <rFont val="Arial"/>
        <family val="2"/>
      </rPr>
      <t>, respectively.</t>
    </r>
  </si>
  <si>
    <r>
      <t xml:space="preserve">If only RO or Distilled Water is used for brewing, it may not be necessary to acidify the sparge water since RO and Distilled water already have low alkalinity.  Acidification of sparge water is only needed when water supply alkalinity is moderate or high.  pH targets for acidification only serve as indicators of low alkalinity.  </t>
    </r>
    <r>
      <rPr>
        <b/>
        <sz val="10"/>
        <rFont val="Arial"/>
        <family val="2"/>
      </rPr>
      <t>Sparging water alkalinity reduction is the real goal of acidification, not pH adjustment</t>
    </r>
    <r>
      <rPr>
        <sz val="10"/>
        <rFont val="Arial"/>
        <family val="2"/>
      </rPr>
      <t>.  When the starting water alkalinity is less than about 25 ppm, then further acidification should not be necessary.</t>
    </r>
  </si>
  <si>
    <r>
      <t xml:space="preserve">If the </t>
    </r>
    <r>
      <rPr>
        <b/>
        <sz val="10"/>
        <rFont val="Arial"/>
        <family val="2"/>
      </rPr>
      <t xml:space="preserve">Starting Water pH </t>
    </r>
    <r>
      <rPr>
        <sz val="10"/>
        <rFont val="Arial"/>
        <family val="2"/>
      </rPr>
      <t xml:space="preserve">is not known, you can assume a relatively neutral pH between 7 and 8 without much impact to the acidification results.  The </t>
    </r>
    <r>
      <rPr>
        <b/>
        <sz val="10"/>
        <rFont val="Arial"/>
        <family val="2"/>
      </rPr>
      <t>Target Water pH</t>
    </r>
    <r>
      <rPr>
        <sz val="10"/>
        <rFont val="Arial"/>
        <family val="2"/>
      </rPr>
      <t xml:space="preserve"> is also entered here.  Although the pH of sparging water is not the primary concern, it is the parameter used to adjust the sparging water acidification. The </t>
    </r>
    <r>
      <rPr>
        <b/>
        <sz val="10"/>
        <rFont val="Arial"/>
        <family val="2"/>
      </rPr>
      <t>Target Water pH</t>
    </r>
    <r>
      <rPr>
        <sz val="10"/>
        <rFont val="Arial"/>
        <family val="2"/>
      </rPr>
      <t xml:space="preserve"> for sparge water generally ranges between 5.5 and 6.0.  </t>
    </r>
  </si>
  <si>
    <r>
      <t xml:space="preserve">The </t>
    </r>
    <r>
      <rPr>
        <b/>
        <sz val="10"/>
        <rFont val="Arial"/>
        <family val="2"/>
      </rPr>
      <t>Outputs</t>
    </r>
    <r>
      <rPr>
        <sz val="10"/>
        <rFont val="Arial"/>
        <family val="2"/>
      </rPr>
      <t xml:space="preserve"> section on the </t>
    </r>
    <r>
      <rPr>
        <b/>
        <sz val="10"/>
        <rFont val="Arial"/>
        <family val="2"/>
      </rPr>
      <t>Sparge Acidification</t>
    </r>
    <r>
      <rPr>
        <sz val="10"/>
        <rFont val="Arial"/>
        <family val="2"/>
      </rPr>
      <t xml:space="preserve"> sheet reports the quantity of the specified acid needed to bring the water to the desired pH and alkalinity.  If the specified acid is in solid form, the acid amount is provided as a mass.  If the specified acid is in liquid form, the acid amount is provided as a volume.  A conversion from milliliters (mL) to teaspoons (tsp) is provided for user convenience. If the </t>
    </r>
    <r>
      <rPr>
        <b/>
        <sz val="10"/>
        <rFont val="Arial"/>
        <family val="2"/>
      </rPr>
      <t xml:space="preserve">Water Volume </t>
    </r>
    <r>
      <rPr>
        <sz val="10"/>
        <rFont val="Arial"/>
        <family val="2"/>
      </rPr>
      <t xml:space="preserve">setting is </t>
    </r>
    <r>
      <rPr>
        <b/>
        <sz val="10"/>
        <rFont val="Arial"/>
        <family val="2"/>
      </rPr>
      <t>1</t>
    </r>
    <r>
      <rPr>
        <sz val="10"/>
        <rFont val="Arial"/>
        <family val="2"/>
      </rPr>
      <t xml:space="preserve">, the acid amounts shown on the </t>
    </r>
    <r>
      <rPr>
        <b/>
        <sz val="10"/>
        <rFont val="Arial"/>
        <family val="2"/>
      </rPr>
      <t>Sparge Acidificaton</t>
    </r>
    <r>
      <rPr>
        <sz val="10"/>
        <rFont val="Arial"/>
        <family val="2"/>
      </rPr>
      <t xml:space="preserve"> sheet are for </t>
    </r>
    <r>
      <rPr>
        <b/>
        <sz val="10"/>
        <rFont val="Arial"/>
        <family val="2"/>
      </rPr>
      <t>1</t>
    </r>
    <r>
      <rPr>
        <sz val="10"/>
        <rFont val="Arial"/>
        <family val="2"/>
      </rPr>
      <t xml:space="preserve"> unit (gallon, liter, barrel, or hectoliter) of water. The </t>
    </r>
    <r>
      <rPr>
        <b/>
        <sz val="10"/>
        <rFont val="Arial"/>
        <family val="2"/>
      </rPr>
      <t xml:space="preserve">total </t>
    </r>
    <r>
      <rPr>
        <sz val="10"/>
        <rFont val="Arial"/>
        <family val="2"/>
      </rPr>
      <t xml:space="preserve">acid additions for the </t>
    </r>
    <r>
      <rPr>
        <b/>
        <sz val="10"/>
        <rFont val="Arial"/>
        <family val="2"/>
      </rPr>
      <t>total</t>
    </r>
    <r>
      <rPr>
        <sz val="10"/>
        <rFont val="Arial"/>
        <family val="2"/>
      </rPr>
      <t xml:space="preserve"> sparging water volume are correctly adjusted on the </t>
    </r>
    <r>
      <rPr>
        <b/>
        <sz val="10"/>
        <rFont val="Arial"/>
        <family val="2"/>
      </rPr>
      <t xml:space="preserve">Water Adjustment </t>
    </r>
    <r>
      <rPr>
        <sz val="10"/>
        <rFont val="Arial"/>
        <family val="2"/>
      </rPr>
      <t xml:space="preserve">and </t>
    </r>
    <r>
      <rPr>
        <b/>
        <sz val="10"/>
        <rFont val="Arial"/>
        <family val="2"/>
      </rPr>
      <t>Adjustment Summary</t>
    </r>
    <r>
      <rPr>
        <sz val="10"/>
        <rFont val="Arial"/>
        <family val="2"/>
      </rPr>
      <t xml:space="preserve"> sheets for the water volumes entered there. </t>
    </r>
  </si>
  <si>
    <r>
      <t xml:space="preserve">In a typical mash, the mash pH tends to trend toward a pH of about 5.4. If the pH is initially lower than 5.4, it tends to rise during the course of the mash. If the pH is initially above 5.4, it tends to fall during the mash.  </t>
    </r>
    <r>
      <rPr>
        <b/>
        <sz val="10"/>
        <rFont val="Arial"/>
        <family val="2"/>
      </rPr>
      <t>Bru'n Water</t>
    </r>
    <r>
      <rPr>
        <sz val="10"/>
        <rFont val="Arial"/>
        <family val="2"/>
      </rPr>
      <t xml:space="preserve"> pH prediction tends to present the pH during the early stage of mashing when most enzymatic activity and starch conversion occurs. </t>
    </r>
    <r>
      <rPr>
        <sz val="10"/>
        <rFont val="Arial"/>
        <family val="2"/>
      </rPr>
      <t xml:space="preserve"> </t>
    </r>
  </si>
  <si>
    <r>
      <t xml:space="preserve">A variety of minerals used for water chemistry adjustment are referenced in the spreadsheet.  Vary the mineral amounts and compare the </t>
    </r>
    <r>
      <rPr>
        <b/>
        <sz val="10"/>
        <rFont val="Arial"/>
        <family val="2"/>
      </rPr>
      <t xml:space="preserve">Target Water Adjustment </t>
    </r>
    <r>
      <rPr>
        <sz val="10"/>
        <rFont val="Arial"/>
        <family val="2"/>
      </rPr>
      <t xml:space="preserve">and </t>
    </r>
    <r>
      <rPr>
        <b/>
        <sz val="10"/>
        <rFont val="Arial"/>
        <family val="2"/>
      </rPr>
      <t>Actual Water Adjustment</t>
    </r>
    <r>
      <rPr>
        <sz val="10"/>
        <rFont val="Arial"/>
        <family val="2"/>
      </rPr>
      <t xml:space="preserve"> results to find the combination of minerals that best approximate the </t>
    </r>
    <r>
      <rPr>
        <b/>
        <sz val="10"/>
        <rFont val="Arial"/>
        <family val="2"/>
      </rPr>
      <t>Desired Water Profile.</t>
    </r>
    <r>
      <rPr>
        <sz val="10"/>
        <rFont val="Arial"/>
        <family val="2"/>
      </rPr>
      <t xml:space="preserve">  When using </t>
    </r>
    <r>
      <rPr>
        <b/>
        <sz val="10"/>
        <rFont val="Arial"/>
        <family val="2"/>
      </rPr>
      <t>Excel</t>
    </r>
    <r>
      <rPr>
        <sz val="10"/>
        <rFont val="Arial"/>
        <family val="2"/>
      </rPr>
      <t xml:space="preserve"> to run </t>
    </r>
    <r>
      <rPr>
        <b/>
        <sz val="10"/>
        <rFont val="Arial"/>
        <family val="2"/>
      </rPr>
      <t>Bru'n Water</t>
    </r>
    <r>
      <rPr>
        <sz val="10"/>
        <rFont val="Arial"/>
        <family val="2"/>
      </rPr>
      <t xml:space="preserve">, the </t>
    </r>
    <r>
      <rPr>
        <b/>
        <sz val="10"/>
        <rFont val="Arial"/>
        <family val="2"/>
      </rPr>
      <t xml:space="preserve">Target </t>
    </r>
    <r>
      <rPr>
        <sz val="10"/>
        <rFont val="Arial"/>
        <family val="2"/>
      </rPr>
      <t xml:space="preserve">and </t>
    </r>
    <r>
      <rPr>
        <b/>
        <sz val="10"/>
        <rFont val="Arial"/>
        <family val="2"/>
      </rPr>
      <t>Actual</t>
    </r>
    <r>
      <rPr>
        <sz val="10"/>
        <rFont val="Arial"/>
        <family val="2"/>
      </rPr>
      <t xml:space="preserve"> adjustment cells will turn </t>
    </r>
    <r>
      <rPr>
        <b/>
        <sz val="10"/>
        <color indexed="17"/>
        <rFont val="Arial"/>
        <family val="2"/>
      </rPr>
      <t xml:space="preserve">GREEN </t>
    </r>
    <r>
      <rPr>
        <sz val="10"/>
        <rFont val="Arial"/>
        <family val="2"/>
      </rPr>
      <t xml:space="preserve">when the values are within 10 ppm of each other.  You should not be too concerned with a difference greater than </t>
    </r>
    <r>
      <rPr>
        <b/>
        <sz val="10"/>
        <rFont val="Arial"/>
        <family val="2"/>
      </rPr>
      <t>10 ppm</t>
    </r>
    <r>
      <rPr>
        <sz val="10"/>
        <rFont val="Arial"/>
        <family val="2"/>
      </rPr>
      <t xml:space="preserve">, but that is a reasonable target range.  In general, you should use a lower than targeted concentration when they have difficulty in finding the correct combination of minerals to add to meet the targeted concentrations.  </t>
    </r>
  </si>
  <si>
    <r>
      <rPr>
        <b/>
        <sz val="10"/>
        <rFont val="Arial"/>
        <family val="2"/>
      </rPr>
      <t>Note to previous Bru'n Water users:</t>
    </r>
    <r>
      <rPr>
        <sz val="10"/>
        <rFont val="Arial"/>
        <family val="2"/>
      </rPr>
      <t xml:space="preserve"> References to </t>
    </r>
    <r>
      <rPr>
        <b/>
        <sz val="10"/>
        <rFont val="Arial"/>
        <family val="2"/>
      </rPr>
      <t>Residual Alkalinity</t>
    </r>
    <r>
      <rPr>
        <sz val="10"/>
        <rFont val="Arial"/>
        <family val="2"/>
      </rPr>
      <t xml:space="preserve"> and the </t>
    </r>
    <r>
      <rPr>
        <b/>
        <sz val="10"/>
        <rFont val="Arial"/>
        <family val="2"/>
      </rPr>
      <t>SO4/Cl ratio</t>
    </r>
    <r>
      <rPr>
        <sz val="10"/>
        <rFont val="Arial"/>
        <family val="2"/>
      </rPr>
      <t xml:space="preserve"> have been largely erased from the new version. Those concepts have done a great disservice to brewing water chemistry and removing them from this version is your first step to ridding them from your brewing practice. We extend our apologies if you felt they were useful. </t>
    </r>
  </si>
  <si>
    <r>
      <t xml:space="preserve">2. Water reports can be difficult to understand and they sometimes have errors. A warning may be displayed if the Cation and Anion totals aren't similar. Check the </t>
    </r>
    <r>
      <rPr>
        <b/>
        <sz val="10"/>
        <rFont val="Arial"/>
        <family val="2"/>
      </rPr>
      <t>Cation/Anion Balance</t>
    </r>
    <r>
      <rPr>
        <sz val="10"/>
        <rFont val="Arial"/>
        <family val="2"/>
      </rPr>
      <t xml:space="preserve"> on the </t>
    </r>
    <r>
      <rPr>
        <b/>
        <sz val="10"/>
        <rFont val="Arial"/>
        <family val="2"/>
      </rPr>
      <t>Water Report Input</t>
    </r>
    <r>
      <rPr>
        <sz val="10"/>
        <rFont val="Arial"/>
        <family val="2"/>
      </rPr>
      <t xml:space="preserve"> sheet to confirm that the ion information input for the existing water is appropriate.If problems with the balance are found, double check the reporting units from the water report and convert any quantities that are not reported in actual ppm or mg/L units for each ion. Sometimes, water reports provide information in units other than ppm or mg/L and those values need to be converted. For example: (not as ppm as CaCO3, or not as Sulfate as Sulfur (SO4-S), or not as Nitrate as Nitrogen (N03-N)  ). There is a </t>
    </r>
    <r>
      <rPr>
        <b/>
        <sz val="10"/>
        <rFont val="Arial"/>
        <family val="2"/>
      </rPr>
      <t xml:space="preserve">Conversion tool </t>
    </r>
    <r>
      <rPr>
        <sz val="10"/>
        <rFont val="Arial"/>
        <family val="2"/>
      </rPr>
      <t xml:space="preserve">at the bottom of the </t>
    </r>
    <r>
      <rPr>
        <b/>
        <sz val="10"/>
        <rFont val="Arial"/>
        <family val="2"/>
      </rPr>
      <t xml:space="preserve">Water Report Input </t>
    </r>
    <r>
      <rPr>
        <sz val="10"/>
        <rFont val="Arial"/>
        <family val="2"/>
      </rPr>
      <t xml:space="preserve">sheet to aid the brewer in converting reported values to their actual ionic concentrations. For accurate results, the ionic content of your water must be known and entered properly. The ion balance warning will disappear when the cation and anion totals are within 0.5 meq/L of each other. </t>
    </r>
    <r>
      <rPr>
        <b/>
        <sz val="10"/>
        <rFont val="Arial"/>
        <family val="2"/>
      </rPr>
      <t>Be sure to dechlorinate your water if you get your water from a municipal supply!</t>
    </r>
  </si>
  <si>
    <r>
      <rPr>
        <b/>
        <sz val="10"/>
        <rFont val="Arial"/>
        <family val="2"/>
      </rPr>
      <t>Temporary Hardness</t>
    </r>
    <r>
      <rPr>
        <sz val="10"/>
        <rFont val="Arial"/>
        <family val="2"/>
      </rPr>
      <t xml:space="preserve"> results when calcium and magnesium are paired with carbonate and bicarbonate in the water.  Most of Temporary Hardness can be driven off by boiling the water. </t>
    </r>
  </si>
  <si>
    <r>
      <rPr>
        <b/>
        <sz val="10"/>
        <rFont val="Arial"/>
        <family val="2"/>
      </rPr>
      <t>Alkalinity</t>
    </r>
    <r>
      <rPr>
        <sz val="10"/>
        <rFont val="Arial"/>
        <family val="2"/>
      </rPr>
      <t xml:space="preserve"> is related to pH, but is not a direct measure of it.  Alkalinity is a direct measure of the "buffering" capacity and carbonate content of a solution and its ability to neutralize strong acid and resist pH change.  Alkalinity is defined as the amount of strong acid required to lower the pH of a sample of the water to a specified pH (typically 4.3 to 4.5).  Alkalinity is generally due to the carbonate (CO</t>
    </r>
    <r>
      <rPr>
        <vertAlign val="subscript"/>
        <sz val="10"/>
        <rFont val="Arial"/>
        <family val="2"/>
      </rPr>
      <t>3</t>
    </r>
    <r>
      <rPr>
        <vertAlign val="superscript"/>
        <sz val="10"/>
        <rFont val="Arial"/>
        <family val="2"/>
      </rPr>
      <t>-2</t>
    </r>
    <r>
      <rPr>
        <sz val="10"/>
        <rFont val="Arial"/>
        <family val="2"/>
      </rPr>
      <t>), bicarbonate (HCO</t>
    </r>
    <r>
      <rPr>
        <vertAlign val="subscript"/>
        <sz val="10"/>
        <rFont val="Arial"/>
        <family val="2"/>
      </rPr>
      <t>3</t>
    </r>
    <r>
      <rPr>
        <sz val="10"/>
        <rFont val="Arial"/>
        <family val="2"/>
      </rPr>
      <t xml:space="preserve"> </t>
    </r>
    <r>
      <rPr>
        <vertAlign val="superscript"/>
        <sz val="10"/>
        <rFont val="Arial"/>
        <family val="2"/>
      </rPr>
      <t>-1</t>
    </r>
    <r>
      <rPr>
        <sz val="10"/>
        <rFont val="Arial"/>
        <family val="2"/>
      </rPr>
      <t>), and hydroxyl (OH</t>
    </r>
    <r>
      <rPr>
        <vertAlign val="superscript"/>
        <sz val="10"/>
        <rFont val="Arial"/>
        <family val="2"/>
      </rPr>
      <t>-1</t>
    </r>
    <r>
      <rPr>
        <sz val="10"/>
        <rFont val="Arial"/>
        <family val="2"/>
      </rPr>
      <t xml:space="preserve">) content of the water. Higher alkalinity water requires more acid to produce a pH change.  Alkalinity is best evaluated for its effect on brewing through the concept of Residual Alkalinity. </t>
    </r>
  </si>
  <si>
    <r>
      <rPr>
        <b/>
        <sz val="10"/>
        <rFont val="Arial"/>
        <family val="2"/>
      </rPr>
      <t>Residual Alkalinity</t>
    </r>
    <r>
      <rPr>
        <sz val="10"/>
        <rFont val="Arial"/>
        <family val="2"/>
      </rPr>
      <t xml:space="preserve"> (</t>
    </r>
    <r>
      <rPr>
        <b/>
        <sz val="10"/>
        <rFont val="Arial"/>
        <family val="2"/>
      </rPr>
      <t>RA</t>
    </r>
    <r>
      <rPr>
        <sz val="10"/>
        <rFont val="Arial"/>
        <family val="2"/>
      </rPr>
      <t>) is a result of both Water Hardness and Alkalinity that affects mashing pH. In the mash, calcium and magnesium in the brewing water react with phosphates in the malt which produce acids that neutralize the water’s alkalinity. This interaction between the brewing water’s hardness and alkalinity is expressed by RA.  RA is a value that is specific to brewing and is an important factor in establishing the pH of wort.  RA is calculated with the following equation.  This equation uses the actual calcium and magnesium concentrations instead of "as CaCO3" concentrations.</t>
    </r>
  </si>
  <si>
    <r>
      <t>Calcium</t>
    </r>
    <r>
      <rPr>
        <sz val="10"/>
        <rFont val="Arial"/>
        <family val="2"/>
      </rPr>
      <t xml:space="preserve"> is typically the principal mineral creating hardness in water.  Calcium is beneficial for mashing and enzyme action and is essential for yeast cell composition. Typical malt imparts all the calcium into the wort that the yeast need for their health, so additional calcium is not required in the brewing water. In the mash, calcium reacts with the malt phosphates to lower the mash pH by precipitating calcium phosphate.  Calcium improves the flocculation of trub and yeast and limits the extraction of grain husk astringency.  It also reduces haze and gushing potential, improves wort runoff from the lauter tun, and improves hop flavors.  The typical range for brewing water calcium ion concentration is 50 to 100 ppm for ale brewing. Lager brewing can benefit from brewing with water with less than 50 ppm calcium. Since oxalates are also precipitated through complexing with calcium, low calcium concentration may contribute to beerstone formation.  A minimum of 40 ppm calcium is recommended for that reason.  Calcium content has little effect on beer flavor. Excessive calcium content in brewing water can be detrimental to yeast health.</t>
    </r>
  </si>
  <si>
    <r>
      <t>Chloride</t>
    </r>
    <r>
      <rPr>
        <sz val="10"/>
        <rFont val="Arial"/>
        <family val="2"/>
      </rPr>
      <t xml:space="preserve"> – The Chloride ion is not the same as the disinfectant, Chlorine and should not be confused with it.  Chloride accentuates fullness and sweetness and improves beer stability and clarity. The ideal range is 10 to 100 ppm, but the upper limit should be reduced in water with high sulfate concentration to avoid harshness and minerally flavor. </t>
    </r>
  </si>
  <si>
    <r>
      <t xml:space="preserve">Acids - </t>
    </r>
    <r>
      <rPr>
        <sz val="10"/>
        <rFont val="Arial"/>
        <family val="2"/>
      </rPr>
      <t xml:space="preserve">Acids can be an important component in brewing water adjustment.  Acids come in solid and liquid forms and all add hydronium (H+) ions to the water and move pH lower.  Acids also add their unique anion to the water.  Frequently, the anions have distinctive flavor which may either compliment or degrade beer flavor when they are present in the beer at levels near or above their taste threshold.  Some acids are more perceivable in beer than others, phosphoric is more difficult to perceive in beer since beer contains similar phosphatic compounds.  Acids such as hydrochloric and sulfuric can add chloride or sulfate ions that may be desirable in the flavor profile.  Acids such as citric, malic, and tartaric can add fruity or estery perceptions to the beer.  Lactic and acetic acids can impart their unique flavor, lactic is smooth while acetic is pungent.  </t>
    </r>
  </si>
  <si>
    <t>Chlorine Removal Verification</t>
  </si>
  <si>
    <t>Water softeners that use salts (sodium chloride or potassium chloride) to soften water may not be suited for treating brewing water since the hardness ions (Ca and Mg) are replaced with elevated levels of sodium or potassium which can impart undesirable flavor and potentially harm the yeast. However if the water has little calcium and magnesium and iron or manganese are present in the water, then salt-based water softening may be used to remove the iron and manganese without adding too much sodium or potassium to the water. That water may be suited for brewing use.</t>
  </si>
  <si>
    <t xml:space="preserve">Excessive alkalinity can reduce the quality and perception of pale colored beers.  Alkalinity can also have a detrimental effect on beers made with Malt Extract since excessive alkalinity can drive up the pH of the resulting wort and finished beer made with that extract.  Water used for beers made with Malt Extract should have alkalinity under 50 ppm as CaCO3.  The alkalinity of mashing water should be based on the acidity of the mash grist. </t>
  </si>
  <si>
    <r>
      <t xml:space="preserve">Alkalinity may be desirable in mashing water when acidic grists (significant roast and/or crystal malt content) are mashed.  Alkalinity helps buffer the pH and helps keep the mash pH in the proper range.  </t>
    </r>
    <r>
      <rPr>
        <b/>
        <sz val="10"/>
        <rFont val="Arial"/>
        <family val="2"/>
      </rPr>
      <t xml:space="preserve">Chalk </t>
    </r>
    <r>
      <rPr>
        <sz val="10"/>
        <rFont val="Arial"/>
        <family val="2"/>
      </rPr>
      <t xml:space="preserve">(calcium carbonate), </t>
    </r>
    <r>
      <rPr>
        <b/>
        <sz val="10"/>
        <rFont val="Arial"/>
        <family val="2"/>
      </rPr>
      <t>Pickling Lime</t>
    </r>
    <r>
      <rPr>
        <sz val="10"/>
        <rFont val="Arial"/>
        <family val="2"/>
      </rPr>
      <t xml:space="preserve"> (calcium hydroxide), or </t>
    </r>
    <r>
      <rPr>
        <b/>
        <sz val="10"/>
        <rFont val="Arial"/>
        <family val="2"/>
      </rPr>
      <t>Baking Soda</t>
    </r>
    <r>
      <rPr>
        <sz val="10"/>
        <rFont val="Arial"/>
        <family val="2"/>
      </rPr>
      <t xml:space="preserve"> (sodium bicarbonate) can be used to increase alkalinity.  Low alkalinity is always desirable in sparge water and alkalinity-increasing minerals should not be added to sparge water.</t>
    </r>
  </si>
  <si>
    <r>
      <rPr>
        <b/>
        <sz val="10"/>
        <rFont val="Arial"/>
        <family val="2"/>
      </rPr>
      <t>Pickling Lime</t>
    </r>
    <r>
      <rPr>
        <sz val="10"/>
        <rFont val="Arial"/>
        <family val="2"/>
      </rPr>
      <t xml:space="preserve"> is readily soluble in water, but must be handled with care since it can burn skin and significantly raise the mash pH if not dosed properly.  Since Pickling Lime can cause calcium and magnesium to precipitate from water's with high concentrations of those ions, it may not be appropriate to add lime directly to those waters. However, in most cases where raising mashing water alkalinity is needed, those waters typically have little calcium or magnesium and the precipitation reaction is not likely to occur.  Pickling Lime can be found where home canning supplies are sold.  It is also available at salt-water aquarium shops and may be found under the names: Lime or Slaked Lime.</t>
    </r>
  </si>
  <si>
    <t>These profiles present the theoretical precipitation of calcium that will occur as the water is decarbonated by boiling.  The really low Ca result for the Munich profile is questionable, but the chemistry indicates it is possible. Note that the bicarbonate concentration cannot be reduced to the 80 ppm level in the Munich profile due to the practical lower limit of 12 ppm for calcium when using lime softening or boiling.</t>
  </si>
  <si>
    <r>
      <rPr>
        <b/>
        <sz val="10"/>
        <rFont val="Arial"/>
        <family val="2"/>
      </rPr>
      <t>Permanent Hardness</t>
    </r>
    <r>
      <rPr>
        <sz val="10"/>
        <rFont val="Arial"/>
        <family val="2"/>
      </rPr>
      <t xml:space="preserve"> results when calcium and magnesium are paired with anions such as chloride and sulfate that cannot be driven off by boiling the water. </t>
    </r>
  </si>
  <si>
    <t xml:space="preserve">The hardness of brewing water does not indicate its suitability for brewing.  As illustrated below, both very soft water and very hard water can be utilized for brewing as long as the appropriate alkalinity is produced. </t>
  </si>
  <si>
    <r>
      <t xml:space="preserve">RA provides a rough indicator of where the mash pH will end up and if there is a need for water chemistry adjustment.  Although the RA Chart suggests that beer color influences what RA value is appropriate for the beer, the relationship is more complicated than that.  The acidity provided by various malt types is not proportional to the color they impart to the beer.  So a direct relationship between beer color and RA is not possible. Therefore, </t>
    </r>
    <r>
      <rPr>
        <b/>
        <sz val="10"/>
        <rFont val="Arial"/>
        <family val="2"/>
      </rPr>
      <t>targeting a specific RA value for brewing water, is not appropriate</t>
    </r>
    <r>
      <rPr>
        <sz val="10"/>
        <rFont val="Arial"/>
        <family val="2"/>
      </rPr>
      <t>. The more appropriate target is mash pH.</t>
    </r>
  </si>
  <si>
    <r>
      <t xml:space="preserve">1. Go to </t>
    </r>
    <r>
      <rPr>
        <b/>
        <sz val="10"/>
        <rFont val="Arial"/>
        <family val="2"/>
      </rPr>
      <t>Excel Options</t>
    </r>
    <r>
      <rPr>
        <sz val="10"/>
        <rFont val="Arial"/>
        <family val="2"/>
      </rPr>
      <t xml:space="preserve"> and its </t>
    </r>
    <r>
      <rPr>
        <b/>
        <sz val="10"/>
        <rFont val="Arial"/>
        <family val="2"/>
      </rPr>
      <t>Formulas</t>
    </r>
    <r>
      <rPr>
        <sz val="10"/>
        <rFont val="Arial"/>
        <family val="2"/>
      </rPr>
      <t xml:space="preserve"> subdirectory and be sure that </t>
    </r>
    <r>
      <rPr>
        <b/>
        <sz val="10"/>
        <rFont val="Arial"/>
        <family val="2"/>
      </rPr>
      <t>Automatic</t>
    </r>
    <r>
      <rPr>
        <sz val="10"/>
        <rFont val="Arial"/>
        <family val="2"/>
      </rPr>
      <t xml:space="preserve"> calculation is selected and </t>
    </r>
    <r>
      <rPr>
        <b/>
        <sz val="10"/>
        <rFont val="Arial"/>
        <family val="2"/>
      </rPr>
      <t>Enable Iterative Calculation</t>
    </r>
    <r>
      <rPr>
        <sz val="10"/>
        <rFont val="Arial"/>
        <family val="2"/>
      </rPr>
      <t xml:space="preserve"> is also check-marked. These ensure that the changes to your inputs are instantly incorporated in the answers. The iterative calculation feature is necessary since the program uses the results of the calculations to refine its answers and this creates a </t>
    </r>
    <r>
      <rPr>
        <b/>
        <sz val="10"/>
        <rFont val="Arial"/>
        <family val="2"/>
      </rPr>
      <t>Circular Reference</t>
    </r>
    <r>
      <rPr>
        <sz val="10"/>
        <rFont val="Arial"/>
        <family val="2"/>
      </rPr>
      <t xml:space="preserve"> warning in Excel. Enabling the iterative calculation gets rid of the warning and allows the program to function properly.</t>
    </r>
  </si>
  <si>
    <t>Insert any notes for the batch or the calculation here.</t>
  </si>
  <si>
    <t>&lt; Select File Here</t>
  </si>
  <si>
    <t>Yellow: under 12 EBC</t>
  </si>
  <si>
    <t>Amber: 14 to 33 EBC</t>
  </si>
  <si>
    <t>Brown: 34 to 59 EBC</t>
  </si>
  <si>
    <t>Black: over 60 EBC</t>
  </si>
  <si>
    <t>lovibond</t>
  </si>
  <si>
    <t>ebc</t>
  </si>
  <si>
    <r>
      <rPr>
        <b/>
        <sz val="10"/>
        <rFont val="Arial"/>
        <family val="2"/>
      </rPr>
      <t>Grain Color Setting</t>
    </r>
    <r>
      <rPr>
        <sz val="10"/>
        <rFont val="Arial"/>
        <family val="2"/>
      </rPr>
      <t xml:space="preserve">: Enter the Color System used for the malts at the bottom of the </t>
    </r>
    <r>
      <rPr>
        <b/>
        <sz val="10"/>
        <rFont val="Arial"/>
        <family val="2"/>
      </rPr>
      <t>Grain Bill Input</t>
    </r>
    <r>
      <rPr>
        <sz val="10"/>
        <rFont val="Arial"/>
        <family val="2"/>
      </rPr>
      <t xml:space="preserve"> sheet.  Click the cell and a </t>
    </r>
    <r>
      <rPr>
        <b/>
        <sz val="10"/>
        <rFont val="Arial"/>
        <family val="2"/>
      </rPr>
      <t>drop-down box</t>
    </r>
    <r>
      <rPr>
        <sz val="10"/>
        <rFont val="Arial"/>
        <family val="2"/>
      </rPr>
      <t xml:space="preserve"> will display </t>
    </r>
    <r>
      <rPr>
        <b/>
        <sz val="10"/>
        <rFont val="Arial"/>
        <family val="2"/>
      </rPr>
      <t xml:space="preserve">Lovibond </t>
    </r>
    <r>
      <rPr>
        <sz val="10"/>
        <rFont val="Arial"/>
        <family val="2"/>
      </rPr>
      <t xml:space="preserve">or </t>
    </r>
    <r>
      <rPr>
        <b/>
        <sz val="10"/>
        <rFont val="Arial"/>
        <family val="2"/>
      </rPr>
      <t>EBC</t>
    </r>
    <r>
      <rPr>
        <sz val="10"/>
        <rFont val="Arial"/>
        <family val="2"/>
      </rPr>
      <t xml:space="preserve"> selections for grain color systems. </t>
    </r>
  </si>
  <si>
    <t>Convert Water Inputs to Boiled Results?</t>
  </si>
  <si>
    <t>Excellent: 50 ppm</t>
  </si>
  <si>
    <t>High: 60 ppm</t>
  </si>
  <si>
    <t>Medium: 70 ppm</t>
  </si>
  <si>
    <t>Low: 80 ppm</t>
  </si>
  <si>
    <t>Select</t>
  </si>
  <si>
    <t>Boiling Effectiveness Setting</t>
  </si>
  <si>
    <t xml:space="preserve">For Brewers that preboil their tap water to reduce Temporary Hardness and Alkalinity, a calculator is provided to estimate what the calcium and bicarbonate concentrations will be in the Boiled water after treatment. The calculator includes settings for the typical post-boil bicarbonate concentration ranging from 50 to 80 ppm. The post-boil bicarbonate concentration generally corresponds to the thoroughness of the boiling treatment. A lower concentration corresponds to better treatment. Alkalinity testing of the post-boiled water can help determine what bicarbonate setting should be used. Alkalinity of 41 and 66 ppm (as CaCO3) correspond to bicarbonate concentrations of 50 and 80 ppm. </t>
  </si>
  <si>
    <t>Boiled Water Calculator</t>
  </si>
  <si>
    <t>typical RO profile</t>
  </si>
  <si>
    <t>mineral free water</t>
  </si>
  <si>
    <t xml:space="preserve">     Batch Name must be selected first or an error will occur.</t>
  </si>
  <si>
    <r>
      <t xml:space="preserve">      Click </t>
    </r>
    <r>
      <rPr>
        <b/>
        <sz val="10"/>
        <rFont val="Arial"/>
        <family val="2"/>
      </rPr>
      <t>SAVE</t>
    </r>
    <r>
      <rPr>
        <sz val="10"/>
        <rFont val="Arial"/>
        <family val="2"/>
      </rPr>
      <t xml:space="preserve"> button on this sheet.</t>
    </r>
  </si>
  <si>
    <r>
      <t>Sodium Metabisulfite (Na</t>
    </r>
    <r>
      <rPr>
        <vertAlign val="subscript"/>
        <sz val="8"/>
        <rFont val="Arial"/>
        <family val="2"/>
      </rPr>
      <t>2</t>
    </r>
    <r>
      <rPr>
        <sz val="8"/>
        <rFont val="Arial"/>
        <family val="2"/>
      </rPr>
      <t>S</t>
    </r>
    <r>
      <rPr>
        <vertAlign val="subscript"/>
        <sz val="8"/>
        <rFont val="Arial"/>
        <family val="2"/>
      </rPr>
      <t>2</t>
    </r>
    <r>
      <rPr>
        <sz val="8"/>
        <rFont val="Arial"/>
        <family val="2"/>
      </rPr>
      <t>O</t>
    </r>
    <r>
      <rPr>
        <vertAlign val="subscript"/>
        <sz val="8"/>
        <rFont val="Arial"/>
        <family val="2"/>
      </rPr>
      <t>5</t>
    </r>
    <r>
      <rPr>
        <sz val="8"/>
        <rFont val="Arial"/>
        <family val="2"/>
      </rPr>
      <t>)</t>
    </r>
  </si>
  <si>
    <t>Know your Water and Input that Data</t>
  </si>
  <si>
    <t>If the Water Report doesn't Balance, Double-check your Inputs and Conversions</t>
  </si>
  <si>
    <t xml:space="preserve">Alkaline Tap Water must be Acidified for Sparging. </t>
  </si>
  <si>
    <t>Select an appropriate Water Profile to compliment your current Brew.</t>
  </si>
  <si>
    <t>Input your Grain Bill</t>
  </si>
  <si>
    <t>Focus on achieving a Desirable Mashing pH, don't worry about Bicarbonate content.</t>
  </si>
  <si>
    <t>Add Minerals and Acids to Water Batches.</t>
  </si>
  <si>
    <t>Save and Recall your Water Data set with the Data Manager</t>
  </si>
  <si>
    <t xml:space="preserve"> &lt; ppm</t>
  </si>
  <si>
    <r>
      <t xml:space="preserve">Enter </t>
    </r>
    <r>
      <rPr>
        <b/>
        <sz val="12"/>
        <rFont val="Arial"/>
        <family val="2"/>
      </rPr>
      <t>Data</t>
    </r>
    <r>
      <rPr>
        <sz val="12"/>
        <rFont val="Arial"/>
        <family val="2"/>
      </rPr>
      <t xml:space="preserve"> into </t>
    </r>
    <r>
      <rPr>
        <b/>
        <sz val="12"/>
        <color indexed="15"/>
        <rFont val="Arial"/>
        <family val="2"/>
      </rPr>
      <t>Light Blue</t>
    </r>
    <r>
      <rPr>
        <sz val="12"/>
        <rFont val="Arial"/>
        <family val="2"/>
      </rPr>
      <t xml:space="preserve"> cells, </t>
    </r>
    <r>
      <rPr>
        <b/>
        <sz val="12"/>
        <color indexed="50"/>
        <rFont val="Arial"/>
        <family val="2"/>
      </rPr>
      <t>Yellow</t>
    </r>
    <r>
      <rPr>
        <sz val="12"/>
        <rFont val="Arial"/>
        <family val="2"/>
      </rPr>
      <t xml:space="preserve"> cells show </t>
    </r>
    <r>
      <rPr>
        <b/>
        <sz val="12"/>
        <rFont val="Arial"/>
        <family val="2"/>
      </rPr>
      <t>Calculated</t>
    </r>
    <r>
      <rPr>
        <sz val="12"/>
        <rFont val="Arial"/>
        <family val="2"/>
      </rPr>
      <t xml:space="preserve"> results, </t>
    </r>
    <r>
      <rPr>
        <b/>
        <sz val="12"/>
        <color indexed="45"/>
        <rFont val="Arial"/>
        <family val="2"/>
      </rPr>
      <t>Pink</t>
    </r>
    <r>
      <rPr>
        <sz val="12"/>
        <rFont val="Arial"/>
        <family val="2"/>
      </rPr>
      <t xml:space="preserve"> cells contain </t>
    </r>
    <r>
      <rPr>
        <b/>
        <sz val="12"/>
        <rFont val="Arial"/>
        <family val="2"/>
      </rPr>
      <t>Selection</t>
    </r>
    <r>
      <rPr>
        <sz val="12"/>
        <rFont val="Arial"/>
        <family val="2"/>
      </rPr>
      <t xml:space="preserve"> boxes</t>
    </r>
  </si>
  <si>
    <r>
      <t xml:space="preserve">Enter </t>
    </r>
    <r>
      <rPr>
        <b/>
        <sz val="12"/>
        <rFont val="Arial"/>
        <family val="2"/>
      </rPr>
      <t>Data</t>
    </r>
    <r>
      <rPr>
        <sz val="12"/>
        <rFont val="Arial"/>
        <family val="2"/>
      </rPr>
      <t xml:space="preserve"> into </t>
    </r>
    <r>
      <rPr>
        <b/>
        <sz val="12"/>
        <color indexed="15"/>
        <rFont val="Arial"/>
        <family val="2"/>
      </rPr>
      <t>Light Blue</t>
    </r>
    <r>
      <rPr>
        <sz val="12"/>
        <rFont val="Arial"/>
        <family val="2"/>
      </rPr>
      <t xml:space="preserve"> cells, </t>
    </r>
    <r>
      <rPr>
        <b/>
        <sz val="12"/>
        <color indexed="13"/>
        <rFont val="Arial"/>
        <family val="2"/>
      </rPr>
      <t>Yellow</t>
    </r>
    <r>
      <rPr>
        <sz val="12"/>
        <rFont val="Arial"/>
        <family val="2"/>
      </rPr>
      <t xml:space="preserve"> cells show </t>
    </r>
    <r>
      <rPr>
        <b/>
        <sz val="12"/>
        <rFont val="Arial"/>
        <family val="2"/>
      </rPr>
      <t>Calculated</t>
    </r>
    <r>
      <rPr>
        <sz val="12"/>
        <rFont val="Arial"/>
        <family val="2"/>
      </rPr>
      <t xml:space="preserve"> results, </t>
    </r>
    <r>
      <rPr>
        <b/>
        <sz val="12"/>
        <color indexed="45"/>
        <rFont val="Arial"/>
        <family val="2"/>
      </rPr>
      <t>Pink</t>
    </r>
    <r>
      <rPr>
        <sz val="12"/>
        <rFont val="Arial"/>
        <family val="2"/>
      </rPr>
      <t xml:space="preserve"> cells contain </t>
    </r>
    <r>
      <rPr>
        <b/>
        <sz val="12"/>
        <rFont val="Arial"/>
        <family val="2"/>
      </rPr>
      <t>Selection</t>
    </r>
    <r>
      <rPr>
        <sz val="12"/>
        <rFont val="Arial"/>
        <family val="2"/>
      </rPr>
      <t xml:space="preserve"> boxes</t>
    </r>
  </si>
  <si>
    <r>
      <t xml:space="preserve">Enter </t>
    </r>
    <r>
      <rPr>
        <b/>
        <sz val="8"/>
        <rFont val="Arial"/>
        <family val="2"/>
      </rPr>
      <t>Data</t>
    </r>
    <r>
      <rPr>
        <sz val="8"/>
        <rFont val="Arial"/>
        <family val="2"/>
      </rPr>
      <t xml:space="preserve"> into </t>
    </r>
    <r>
      <rPr>
        <b/>
        <sz val="8"/>
        <color indexed="15"/>
        <rFont val="Arial"/>
        <family val="2"/>
      </rPr>
      <t>Light Blue</t>
    </r>
    <r>
      <rPr>
        <sz val="8"/>
        <rFont val="Arial"/>
        <family val="2"/>
      </rPr>
      <t xml:space="preserve"> cells, </t>
    </r>
    <r>
      <rPr>
        <b/>
        <sz val="8"/>
        <color indexed="50"/>
        <rFont val="Arial"/>
        <family val="2"/>
      </rPr>
      <t>Yellow</t>
    </r>
    <r>
      <rPr>
        <sz val="8"/>
        <rFont val="Arial"/>
        <family val="2"/>
      </rPr>
      <t xml:space="preserve"> cells show </t>
    </r>
    <r>
      <rPr>
        <b/>
        <sz val="8"/>
        <rFont val="Arial"/>
        <family val="2"/>
      </rPr>
      <t>Calculated</t>
    </r>
    <r>
      <rPr>
        <sz val="8"/>
        <rFont val="Arial"/>
        <family val="2"/>
      </rPr>
      <t xml:space="preserve"> results, </t>
    </r>
    <r>
      <rPr>
        <b/>
        <sz val="8"/>
        <color indexed="45"/>
        <rFont val="Arial"/>
        <family val="2"/>
      </rPr>
      <t>Pink</t>
    </r>
    <r>
      <rPr>
        <sz val="8"/>
        <rFont val="Arial"/>
        <family val="2"/>
      </rPr>
      <t xml:space="preserve"> cells contain </t>
    </r>
    <r>
      <rPr>
        <b/>
        <sz val="8"/>
        <rFont val="Arial"/>
        <family val="2"/>
      </rPr>
      <t>Selection</t>
    </r>
    <r>
      <rPr>
        <sz val="8"/>
        <rFont val="Arial"/>
        <family val="2"/>
      </rPr>
      <t xml:space="preserve"> boxes</t>
    </r>
  </si>
  <si>
    <t>SMB dose</t>
  </si>
  <si>
    <r>
      <t>Sodium Metabisulfite (Na</t>
    </r>
    <r>
      <rPr>
        <b/>
        <vertAlign val="subscript"/>
        <sz val="9"/>
        <rFont val="Arial"/>
        <family val="2"/>
      </rPr>
      <t>2</t>
    </r>
    <r>
      <rPr>
        <b/>
        <sz val="9"/>
        <rFont val="Arial"/>
        <family val="2"/>
      </rPr>
      <t>S</t>
    </r>
    <r>
      <rPr>
        <b/>
        <vertAlign val="subscript"/>
        <sz val="9"/>
        <rFont val="Arial"/>
        <family val="2"/>
      </rPr>
      <t>2</t>
    </r>
    <r>
      <rPr>
        <b/>
        <sz val="9"/>
        <rFont val="Arial"/>
        <family val="2"/>
      </rPr>
      <t>O</t>
    </r>
    <r>
      <rPr>
        <b/>
        <vertAlign val="subscript"/>
        <sz val="9"/>
        <rFont val="Arial"/>
        <family val="2"/>
      </rPr>
      <t>5</t>
    </r>
    <r>
      <rPr>
        <b/>
        <sz val="9"/>
        <rFont val="Arial"/>
        <family val="2"/>
      </rPr>
      <t>)</t>
    </r>
  </si>
  <si>
    <t>Sodium Metabisulfite</t>
  </si>
  <si>
    <r>
      <t xml:space="preserve">Sodium Metabisulfite </t>
    </r>
    <r>
      <rPr>
        <sz val="10"/>
        <rFont val="Arial"/>
        <family val="2"/>
      </rPr>
      <t xml:space="preserve">removes dissolved oxygen from water and wort and adds sodium and sulfate. </t>
    </r>
  </si>
  <si>
    <r>
      <rPr>
        <b/>
        <sz val="10"/>
        <rFont val="Arial"/>
        <family val="2"/>
      </rPr>
      <t>Low Oxygen Brewing:</t>
    </r>
    <r>
      <rPr>
        <sz val="10"/>
        <rFont val="Arial"/>
        <family val="2"/>
      </rPr>
      <t xml:space="preserve"> Reducing oxygen contact with malt and wort during all cold-side and hot-side brewery operations can improve malt flavor and reduce subsequent beer staling and oxidation. Because malt and wort are irreversibly altered and degraded by oxygen contact at any stage of the brewing process, oxygen reduction measures must be through and complete. Implimenting oxygen reduction in some areas and neglecting oxygen reduction in other areas is unlikely to produce positive results. Measures such as pre-boiling and deoxygenating water, avoiding splashing and mixing of wort and mash, and reducing atmospheric contact with wort and mash are helpful in improving malt flavor. Including an appropriate dose of </t>
    </r>
    <r>
      <rPr>
        <b/>
        <sz val="10"/>
        <rFont val="Arial"/>
        <family val="2"/>
      </rPr>
      <t>Sodium Metabisulfite (SMB)</t>
    </r>
    <r>
      <rPr>
        <sz val="10"/>
        <rFont val="Arial"/>
        <family val="2"/>
      </rPr>
      <t xml:space="preserve"> in the mashing and sparging water can provide a factor of safety to avoid oxygen contact.     </t>
    </r>
  </si>
  <si>
    <r>
      <t xml:space="preserve">100 ppm of </t>
    </r>
    <r>
      <rPr>
        <b/>
        <sz val="10"/>
        <rFont val="Arial"/>
        <family val="2"/>
      </rPr>
      <t>SMB</t>
    </r>
    <r>
      <rPr>
        <sz val="10"/>
        <rFont val="Arial"/>
        <family val="2"/>
      </rPr>
      <t xml:space="preserve"> delivers 24 ppm of sodium, 101 ppm of sulfate, and drops the mash pH by about 0.1 unit. Since sodium and sulfate can be undesirable in some beers, managing and accounting for those additions is important. </t>
    </r>
    <r>
      <rPr>
        <b/>
        <sz val="10"/>
        <rFont val="Arial"/>
        <family val="2"/>
      </rPr>
      <t>Bru'n Water</t>
    </r>
    <r>
      <rPr>
        <sz val="10"/>
        <rFont val="Arial"/>
        <family val="2"/>
      </rPr>
      <t xml:space="preserve"> incorporates the effects of SMB in the ion and pH results.</t>
    </r>
  </si>
  <si>
    <t>Pils</t>
  </si>
  <si>
    <r>
      <t xml:space="preserve">Enter </t>
    </r>
    <r>
      <rPr>
        <b/>
        <sz val="10"/>
        <rFont val="Arial"/>
        <family val="2"/>
      </rPr>
      <t>Data</t>
    </r>
    <r>
      <rPr>
        <sz val="10"/>
        <rFont val="Arial"/>
        <family val="2"/>
      </rPr>
      <t xml:space="preserve"> into </t>
    </r>
    <r>
      <rPr>
        <b/>
        <sz val="10"/>
        <color indexed="15"/>
        <rFont val="Arial"/>
        <family val="2"/>
      </rPr>
      <t>Light Blue</t>
    </r>
    <r>
      <rPr>
        <sz val="10"/>
        <rFont val="Arial"/>
        <family val="2"/>
      </rPr>
      <t xml:space="preserve"> cells, </t>
    </r>
    <r>
      <rPr>
        <b/>
        <sz val="10"/>
        <color indexed="50"/>
        <rFont val="Arial"/>
        <family val="2"/>
      </rPr>
      <t>Yellow</t>
    </r>
    <r>
      <rPr>
        <sz val="10"/>
        <rFont val="Arial"/>
        <family val="2"/>
      </rPr>
      <t xml:space="preserve"> cells show </t>
    </r>
    <r>
      <rPr>
        <b/>
        <sz val="10"/>
        <rFont val="Arial"/>
        <family val="2"/>
      </rPr>
      <t>Calculated</t>
    </r>
    <r>
      <rPr>
        <sz val="10"/>
        <rFont val="Arial"/>
        <family val="2"/>
      </rPr>
      <t xml:space="preserve"> results, </t>
    </r>
    <r>
      <rPr>
        <b/>
        <sz val="10"/>
        <color indexed="45"/>
        <rFont val="Arial"/>
        <family val="2"/>
      </rPr>
      <t>Pink</t>
    </r>
    <r>
      <rPr>
        <sz val="10"/>
        <rFont val="Arial"/>
        <family val="2"/>
      </rPr>
      <t xml:space="preserve"> cells contain </t>
    </r>
    <r>
      <rPr>
        <b/>
        <sz val="10"/>
        <rFont val="Arial"/>
        <family val="2"/>
      </rPr>
      <t>Selection</t>
    </r>
    <r>
      <rPr>
        <sz val="10"/>
        <rFont val="Arial"/>
        <family val="2"/>
      </rPr>
      <t xml:space="preserve"> boxes</t>
    </r>
  </si>
  <si>
    <r>
      <t>Remove</t>
    </r>
    <r>
      <rPr>
        <b/>
        <sz val="10"/>
        <rFont val="Arial"/>
        <family val="2"/>
      </rPr>
      <t xml:space="preserve"> Crystal Malts</t>
    </r>
    <r>
      <rPr>
        <sz val="10"/>
        <rFont val="Arial"/>
        <family val="2"/>
      </rPr>
      <t xml:space="preserve"> from Main Mash?</t>
    </r>
  </si>
  <si>
    <r>
      <t xml:space="preserve">Remove </t>
    </r>
    <r>
      <rPr>
        <b/>
        <sz val="10"/>
        <rFont val="Arial"/>
        <family val="2"/>
      </rPr>
      <t>Roast Malts</t>
    </r>
    <r>
      <rPr>
        <sz val="10"/>
        <rFont val="Arial"/>
        <family val="2"/>
      </rPr>
      <t xml:space="preserve"> from Main Mash?</t>
    </r>
  </si>
  <si>
    <t>Cologne (boiled)</t>
  </si>
  <si>
    <t>fixed the baking soda alkalinity/pH</t>
  </si>
  <si>
    <t>Roast</t>
  </si>
  <si>
    <t>Wheat/Oat</t>
  </si>
  <si>
    <t xml:space="preserve">Copyright © 2018 Martin Brungard. All rights reserved. Reproduction in whole or in part in any form or medium without the express written permission of Martin Brungard, is prohibited.  Any transfer or exchange of this program via any method to anyone other than the original licensee is prohibited.  Transferring, exchanging, or posting images (screen shots) of the program and of the Raw Text Summary sheet is permitted for the purpose of conveying program results to other individuals.  The user of this program assumes all responsibility for the operation and results of the program. </t>
  </si>
  <si>
    <t xml:space="preserve">Copyright © 2018 Martin Brungard. All rights reserved. Reproduction in whole or in part in any form or medium without the express written permission of Martin Brungard, is prohibited.  Any transfer or exchange of this program via any method to anyone other than the original licensee is prohibited.  Transferring, exchanging, or posting images (screen shots) of the program and of the Raw Text Summary sheet is permitted for the purpose of conveying program results to other individuals. The user of this program assumes all responsibility for the operation and results of the program. </t>
  </si>
  <si>
    <r>
      <t xml:space="preserve">The color of the cells in the Grain Color column change to help signal the brewer what grain type is selected and if a color rating greater than 478 EBC (180 Lovibond) is used for a non-roasted grain or if a low color rating is used for a roasted grain.  When using Excel to run Bru'n Water, the cells are </t>
    </r>
    <r>
      <rPr>
        <b/>
        <sz val="10"/>
        <color indexed="40"/>
        <rFont val="Arial"/>
        <family val="2"/>
      </rPr>
      <t>LIGHT BLUE</t>
    </r>
    <r>
      <rPr>
        <sz val="10"/>
        <rFont val="Arial"/>
        <family val="2"/>
      </rPr>
      <t xml:space="preserve"> for Base Grains, </t>
    </r>
    <r>
      <rPr>
        <b/>
        <sz val="10"/>
        <color indexed="40"/>
        <rFont val="Arial"/>
        <family val="2"/>
      </rPr>
      <t xml:space="preserve">BLUE </t>
    </r>
    <r>
      <rPr>
        <sz val="10"/>
        <rFont val="Arial"/>
        <family val="2"/>
      </rPr>
      <t xml:space="preserve">for Non-Barley grains, </t>
    </r>
    <r>
      <rPr>
        <b/>
        <sz val="10"/>
        <color indexed="47"/>
        <rFont val="Arial"/>
        <family val="2"/>
      </rPr>
      <t>LIGHT TAN</t>
    </r>
    <r>
      <rPr>
        <sz val="10"/>
        <color indexed="47"/>
        <rFont val="Arial"/>
        <family val="2"/>
      </rPr>
      <t xml:space="preserve"> </t>
    </r>
    <r>
      <rPr>
        <sz val="10"/>
        <rFont val="Arial"/>
        <family val="2"/>
      </rPr>
      <t>for Crystal Malts,</t>
    </r>
    <r>
      <rPr>
        <b/>
        <sz val="10"/>
        <color indexed="52"/>
        <rFont val="Arial"/>
        <family val="2"/>
      </rPr>
      <t xml:space="preserve"> DARK TAN</t>
    </r>
    <r>
      <rPr>
        <sz val="10"/>
        <rFont val="Arial"/>
        <family val="2"/>
      </rPr>
      <t xml:space="preserve"> for Roast Malts, and </t>
    </r>
    <r>
      <rPr>
        <sz val="10"/>
        <color indexed="17"/>
        <rFont val="Arial"/>
        <family val="2"/>
      </rPr>
      <t>GREEN</t>
    </r>
    <r>
      <rPr>
        <sz val="10"/>
        <rFont val="Arial"/>
        <family val="2"/>
      </rPr>
      <t xml:space="preserve"> for Acid Malt.  The cells turn </t>
    </r>
    <r>
      <rPr>
        <b/>
        <sz val="10"/>
        <color indexed="10"/>
        <rFont val="Arial"/>
        <family val="2"/>
      </rPr>
      <t>RED</t>
    </r>
    <r>
      <rPr>
        <sz val="10"/>
        <rFont val="Arial"/>
        <family val="2"/>
      </rPr>
      <t xml:space="preserve"> when the color rating and roast malt settings do not agree with each other. </t>
    </r>
  </si>
  <si>
    <r>
      <rPr>
        <b/>
        <sz val="10"/>
        <rFont val="Arial"/>
        <family val="2"/>
      </rPr>
      <t>SMB</t>
    </r>
    <r>
      <rPr>
        <sz val="10"/>
        <rFont val="Arial"/>
        <family val="2"/>
      </rPr>
      <t xml:space="preserve"> removes oxygen from water and wort at the rate of about 6 ppm </t>
    </r>
    <r>
      <rPr>
        <b/>
        <sz val="10"/>
        <rFont val="Arial"/>
        <family val="2"/>
      </rPr>
      <t>SMB</t>
    </r>
    <r>
      <rPr>
        <sz val="10"/>
        <rFont val="Arial"/>
        <family val="2"/>
      </rPr>
      <t xml:space="preserve"> to remove 1 ppm oxygen. A brewing system that includes the oxygen reduction measures shown above can expect to have about 2 to 10 ppm oxygen enter the system. That means that about 10 to 60 ppm </t>
    </r>
    <r>
      <rPr>
        <b/>
        <sz val="10"/>
        <rFont val="Arial"/>
        <family val="2"/>
      </rPr>
      <t>SMB</t>
    </r>
    <r>
      <rPr>
        <sz val="10"/>
        <rFont val="Arial"/>
        <family val="2"/>
      </rPr>
      <t xml:space="preserve"> may be needed to provide the oxygen protection needed to keep the malt and wort unoxidized.   </t>
    </r>
  </si>
  <si>
    <r>
      <t xml:space="preserve">Copyright © 2018 </t>
    </r>
    <r>
      <rPr>
        <i/>
        <sz val="8"/>
        <rFont val="Arial Narrow"/>
        <family val="2"/>
      </rPr>
      <t>Martin Brungard</t>
    </r>
    <r>
      <rPr>
        <sz val="8"/>
        <rFont val="Arial Narrow"/>
        <family val="2"/>
      </rPr>
      <t xml:space="preserve">. All rights reserved. Reproduction in whole or in part in any form or medium without the express written permission of Martin Brungard, is prohibited.  Any transfer or exchange of this program via any method to anyone other than the original licensee is prohibited.  Transferring, exchanging, or posting images (screen shots) of the program and of the Raw Text Summary sheet is permitted for the purpose of conveying program results to other individuals.  The user of this program assumes all responsibility for the operation and results of the program. </t>
    </r>
  </si>
  <si>
    <r>
      <t xml:space="preserve">Copyright © 2018 </t>
    </r>
    <r>
      <rPr>
        <i/>
        <sz val="8"/>
        <rFont val="Arial Narrow"/>
        <family val="2"/>
      </rPr>
      <t>Martin Brungard</t>
    </r>
    <r>
      <rPr>
        <sz val="8"/>
        <rFont val="Arial Narrow"/>
        <family val="2"/>
      </rPr>
      <t>. All rights reserved. Reproduction in whole or in part in any form or medium without the express written permission of Martin Brungard, is prohibited. Bru'n Water is not Freeware or Shareware and it is illegal to distribute or transfer this program in any form except by Martin Brungard.</t>
    </r>
  </si>
  <si>
    <t>NEIPA</t>
  </si>
  <si>
    <t>For high mouthfeel, hoppy beers</t>
  </si>
  <si>
    <t>Very minerally tasting, may want to moderate this profile in practice</t>
  </si>
  <si>
    <r>
      <rPr>
        <b/>
        <sz val="10"/>
        <rFont val="Arial"/>
        <family val="2"/>
      </rPr>
      <t>Grain Type</t>
    </r>
    <r>
      <rPr>
        <sz val="10"/>
        <rFont val="Arial"/>
        <family val="2"/>
      </rPr>
      <t xml:space="preserve">: For each grain, use the </t>
    </r>
    <r>
      <rPr>
        <b/>
        <sz val="10"/>
        <rFont val="Arial"/>
        <family val="2"/>
      </rPr>
      <t>drop-down box</t>
    </r>
    <r>
      <rPr>
        <sz val="10"/>
        <rFont val="Arial"/>
        <family val="2"/>
      </rPr>
      <t xml:space="preserve"> to signify what type of grain is on that line (</t>
    </r>
    <r>
      <rPr>
        <b/>
        <sz val="10"/>
        <rFont val="Arial"/>
        <family val="2"/>
      </rPr>
      <t>Base Malt, Wheat/Oat, Crystal Malt, Roast Malt, or Acid Malt</t>
    </r>
    <r>
      <rPr>
        <sz val="10"/>
        <rFont val="Arial"/>
        <family val="2"/>
      </rPr>
      <t xml:space="preserve">).  This selection is important since each category of malt has differing acidity versus grain color characteristics.  </t>
    </r>
    <r>
      <rPr>
        <b/>
        <sz val="10"/>
        <rFont val="Arial"/>
        <family val="2"/>
      </rPr>
      <t>Wheat/Oat</t>
    </r>
    <r>
      <rPr>
        <sz val="10"/>
        <rFont val="Arial"/>
        <family val="2"/>
      </rPr>
      <t xml:space="preserve"> is used for any non-barley grains or malts, including flaked non-barley grains. Grains with color greater than about 180 Lovibond should be entered as Roast Malts.  Be aware that these rules are not always true and some grains may be better represented with another grain-type setting. Grains with color lower than 478 EBC (180 Lovibond) should typically be entered as Base or Crystal Malts.  Acid Malt is also referred to as Saurermalt.</t>
    </r>
  </si>
  <si>
    <t xml:space="preserve">Copyright © 2018 Martin Brungard. All rights reserved. Reproduction in whole or in part in any form or medium without the express written permission of Martin Brungard, is prohibited.  Any transfer or exchange of this program via any method to anyone other than the original licensee is prohibited.  Transferring, exchanging, or posting images (screen shots) of the program and of the Raw Text Summary sheet is permitted for the purpose of conveying program results to other individuals. </t>
  </si>
  <si>
    <t>White Wheat</t>
  </si>
  <si>
    <t>Crystal 10</t>
  </si>
  <si>
    <t xml:space="preserve"> </t>
  </si>
  <si>
    <t>Select File Name Here</t>
  </si>
  <si>
    <t>Bru'n Water v. 5.5</t>
  </si>
  <si>
    <t>Bru'n Water v 5.5</t>
  </si>
  <si>
    <t>Bru'n Water v.5.5</t>
  </si>
  <si>
    <t>From City records. Useful for Kolsch brewing</t>
  </si>
  <si>
    <t>https://www.brunwater.com/</t>
  </si>
  <si>
    <t>Michael Weisz</t>
  </si>
  <si>
    <t>michael.weisz@gmail.com</t>
  </si>
  <si>
    <t>bw008267</t>
  </si>
  <si>
    <t>Briess Pilsen</t>
  </si>
  <si>
    <t>Chill NEIPA</t>
  </si>
  <si>
    <t>Flaked Oats</t>
  </si>
  <si>
    <t>Carapils</t>
  </si>
  <si>
    <t>Pale 2-Row</t>
  </si>
  <si>
    <t>Golden Promise</t>
  </si>
  <si>
    <t>Carafoam</t>
  </si>
  <si>
    <t>Aromatic</t>
  </si>
  <si>
    <t>Nectar of the Gods</t>
  </si>
  <si>
    <t>Black IPA</t>
  </si>
  <si>
    <t>Caramel 80</t>
  </si>
  <si>
    <t>Chocolate Malt</t>
  </si>
  <si>
    <t>Dehusked Carafa</t>
  </si>
  <si>
    <t>Flaked Barley</t>
  </si>
  <si>
    <t>Flaked Maize</t>
  </si>
  <si>
    <t>Cream Ale</t>
  </si>
  <si>
    <t>Caribou Slobber</t>
  </si>
  <si>
    <t>60L</t>
  </si>
  <si>
    <t>Pale Chocolate</t>
  </si>
  <si>
    <t>Black Malt</t>
  </si>
  <si>
    <t>80L</t>
  </si>
  <si>
    <t>Crystal 40</t>
  </si>
  <si>
    <t>J$ Tripel</t>
  </si>
  <si>
    <t>Cream Ale v1.1</t>
  </si>
  <si>
    <t>Pale 2-row</t>
  </si>
  <si>
    <t>Janeipa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</si>
</sst>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
    <numFmt numFmtId="165" formatCode="0.0"/>
    <numFmt numFmtId="166" formatCode="0.00000000"/>
    <numFmt numFmtId="167" formatCode="0.000000"/>
    <numFmt numFmtId="168" formatCode="0.00000"/>
    <numFmt numFmtId="169" formatCode="0.0000"/>
  </numFmts>
  <fonts count="132" x14ac:knownFonts="1">
    <font>
      <sz val="10"/>
      <name val="Arial"/>
    </font>
    <font>
      <b/>
      <sz val="10"/>
      <name val="Arial"/>
      <family val="2"/>
    </font>
    <font>
      <b/>
      <sz val="14"/>
      <name val="Arial"/>
      <family val="2"/>
    </font>
    <font>
      <b/>
      <sz val="8"/>
      <color indexed="81"/>
      <name val="Tahoma"/>
      <family val="2"/>
    </font>
    <font>
      <sz val="8"/>
      <color indexed="81"/>
      <name val="Tahoma"/>
      <family val="2"/>
    </font>
    <font>
      <sz val="10"/>
      <name val="Arial"/>
      <family val="2"/>
    </font>
    <font>
      <sz val="10"/>
      <color indexed="10"/>
      <name val="Arial"/>
      <family val="2"/>
    </font>
    <font>
      <sz val="8"/>
      <name val="Arial"/>
      <family val="2"/>
    </font>
    <font>
      <vertAlign val="subscript"/>
      <sz val="10"/>
      <name val="Arial"/>
      <family val="2"/>
    </font>
    <font>
      <b/>
      <sz val="18"/>
      <name val="Arial"/>
      <family val="2"/>
    </font>
    <font>
      <sz val="9"/>
      <color indexed="81"/>
      <name val="Tahoma"/>
      <family val="2"/>
    </font>
    <font>
      <b/>
      <sz val="8"/>
      <name val="Arial"/>
      <family val="2"/>
    </font>
    <font>
      <sz val="8"/>
      <name val="Arial Narrow"/>
      <family val="2"/>
    </font>
    <font>
      <i/>
      <sz val="8"/>
      <name val="Arial Narrow"/>
      <family val="2"/>
    </font>
    <font>
      <sz val="8"/>
      <color indexed="8"/>
      <name val="Arial"/>
      <family val="2"/>
    </font>
    <font>
      <vertAlign val="subscript"/>
      <sz val="8"/>
      <name val="Arial"/>
      <family val="2"/>
    </font>
    <font>
      <sz val="8"/>
      <color indexed="8"/>
      <name val="Arial Narrow"/>
      <family val="2"/>
    </font>
    <font>
      <sz val="14"/>
      <name val="Arial"/>
      <family val="2"/>
    </font>
    <font>
      <sz val="8"/>
      <color indexed="22"/>
      <name val="Arial"/>
      <family val="2"/>
    </font>
    <font>
      <b/>
      <sz val="20"/>
      <name val="Arial"/>
      <family val="2"/>
    </font>
    <font>
      <b/>
      <sz val="10"/>
      <color indexed="10"/>
      <name val="Arial"/>
      <family val="2"/>
    </font>
    <font>
      <sz val="10"/>
      <color indexed="13"/>
      <name val="Arial"/>
      <family val="2"/>
    </font>
    <font>
      <sz val="10"/>
      <name val="Calibri"/>
      <family val="2"/>
    </font>
    <font>
      <vertAlign val="superscript"/>
      <sz val="10"/>
      <name val="Arial"/>
      <family val="2"/>
    </font>
    <font>
      <b/>
      <u/>
      <sz val="10"/>
      <name val="Arial"/>
      <family val="2"/>
    </font>
    <font>
      <i/>
      <sz val="9"/>
      <name val="Times New Roman"/>
      <family val="1"/>
    </font>
    <font>
      <sz val="9"/>
      <name val="Times New Roman"/>
      <family val="1"/>
    </font>
    <font>
      <b/>
      <sz val="9"/>
      <name val="Arial"/>
      <family val="2"/>
    </font>
    <font>
      <b/>
      <sz val="10"/>
      <color indexed="12"/>
      <name val="Arial"/>
      <family val="2"/>
    </font>
    <font>
      <b/>
      <sz val="10"/>
      <color indexed="51"/>
      <name val="Arial"/>
      <family val="2"/>
    </font>
    <font>
      <b/>
      <sz val="16"/>
      <name val="Arial"/>
      <family val="2"/>
    </font>
    <font>
      <sz val="16"/>
      <name val="Arial"/>
      <family val="2"/>
    </font>
    <font>
      <b/>
      <i/>
      <sz val="10"/>
      <name val="Arial"/>
      <family val="2"/>
    </font>
    <font>
      <sz val="8"/>
      <color indexed="12"/>
      <name val="Arial"/>
      <family val="2"/>
    </font>
    <font>
      <b/>
      <sz val="9"/>
      <color indexed="12"/>
      <name val="Arial"/>
      <family val="2"/>
    </font>
    <font>
      <b/>
      <sz val="11"/>
      <name val="Arial"/>
      <family val="2"/>
    </font>
    <font>
      <sz val="9"/>
      <name val="Arial"/>
      <family val="2"/>
    </font>
    <font>
      <vertAlign val="subscript"/>
      <sz val="8"/>
      <color indexed="81"/>
      <name val="Tahoma"/>
      <family val="2"/>
    </font>
    <font>
      <b/>
      <sz val="12"/>
      <name val="Arial"/>
      <family val="2"/>
    </font>
    <font>
      <b/>
      <sz val="10"/>
      <color indexed="30"/>
      <name val="Arial"/>
      <family val="2"/>
    </font>
    <font>
      <b/>
      <sz val="18"/>
      <color indexed="30"/>
      <name val="Arial"/>
      <family val="2"/>
    </font>
    <font>
      <vertAlign val="subscript"/>
      <sz val="9"/>
      <name val="Arial"/>
      <family val="2"/>
    </font>
    <font>
      <b/>
      <sz val="8"/>
      <color indexed="12"/>
      <name val="Arial"/>
      <family val="2"/>
    </font>
    <font>
      <b/>
      <sz val="10"/>
      <color indexed="17"/>
      <name val="Arial"/>
      <family val="2"/>
    </font>
    <font>
      <sz val="12"/>
      <name val="Arial"/>
      <family val="2"/>
    </font>
    <font>
      <sz val="6"/>
      <name val="Arial"/>
      <family val="2"/>
    </font>
    <font>
      <sz val="7"/>
      <name val="Arial"/>
      <family val="2"/>
    </font>
    <font>
      <b/>
      <sz val="9"/>
      <color indexed="81"/>
      <name val="Tahoma"/>
      <family val="2"/>
    </font>
    <font>
      <b/>
      <sz val="7"/>
      <name val="Arial"/>
      <family val="2"/>
    </font>
    <font>
      <b/>
      <vertAlign val="subscript"/>
      <sz val="9"/>
      <name val="Arial"/>
      <family val="2"/>
    </font>
    <font>
      <b/>
      <sz val="22"/>
      <name val="Arial"/>
      <family val="2"/>
    </font>
    <font>
      <b/>
      <sz val="8"/>
      <color indexed="17"/>
      <name val="Tahoma"/>
      <family val="2"/>
    </font>
    <font>
      <b/>
      <sz val="8"/>
      <color indexed="53"/>
      <name val="Tahoma"/>
      <family val="2"/>
    </font>
    <font>
      <b/>
      <sz val="8"/>
      <color indexed="12"/>
      <name val="Tahoma"/>
      <family val="2"/>
    </font>
    <font>
      <b/>
      <sz val="8"/>
      <color indexed="10"/>
      <name val="Tahoma"/>
      <family val="2"/>
    </font>
    <font>
      <b/>
      <sz val="10"/>
      <color indexed="50"/>
      <name val="Arial"/>
      <family val="2"/>
    </font>
    <font>
      <sz val="10"/>
      <color indexed="17"/>
      <name val="Arial"/>
      <family val="2"/>
    </font>
    <font>
      <b/>
      <sz val="14"/>
      <color indexed="12"/>
      <name val="Arial"/>
      <family val="2"/>
    </font>
    <font>
      <b/>
      <sz val="10"/>
      <color indexed="62"/>
      <name val="Arial"/>
      <family val="2"/>
    </font>
    <font>
      <sz val="10"/>
      <color indexed="47"/>
      <name val="Arial"/>
      <family val="2"/>
    </font>
    <font>
      <b/>
      <sz val="10"/>
      <color indexed="47"/>
      <name val="Arial"/>
      <family val="2"/>
    </font>
    <font>
      <b/>
      <sz val="10"/>
      <color indexed="52"/>
      <name val="Arial"/>
      <family val="2"/>
    </font>
    <font>
      <b/>
      <sz val="10"/>
      <color indexed="63"/>
      <name val="Arial"/>
      <family val="2"/>
    </font>
    <font>
      <b/>
      <vertAlign val="subscript"/>
      <sz val="10"/>
      <name val="Arial"/>
      <family val="2"/>
    </font>
    <font>
      <sz val="8"/>
      <color indexed="10"/>
      <name val="Tahoma"/>
      <family val="2"/>
    </font>
    <font>
      <b/>
      <sz val="10"/>
      <color indexed="13"/>
      <name val="Arial"/>
      <family val="2"/>
    </font>
    <font>
      <b/>
      <u/>
      <sz val="8"/>
      <name val="Arial"/>
      <family val="2"/>
    </font>
    <font>
      <b/>
      <u/>
      <vertAlign val="subscript"/>
      <sz val="8"/>
      <name val="Arial"/>
      <family val="2"/>
    </font>
    <font>
      <b/>
      <u/>
      <sz val="14"/>
      <name val="Arial"/>
      <family val="2"/>
    </font>
    <font>
      <b/>
      <sz val="12"/>
      <color indexed="15"/>
      <name val="Arial"/>
      <family val="2"/>
    </font>
    <font>
      <b/>
      <sz val="12"/>
      <color indexed="50"/>
      <name val="Arial"/>
      <family val="2"/>
    </font>
    <font>
      <b/>
      <sz val="12"/>
      <color indexed="45"/>
      <name val="Arial"/>
      <family val="2"/>
    </font>
    <font>
      <b/>
      <sz val="8"/>
      <color indexed="15"/>
      <name val="Arial"/>
      <family val="2"/>
    </font>
    <font>
      <b/>
      <sz val="8"/>
      <color indexed="50"/>
      <name val="Arial"/>
      <family val="2"/>
    </font>
    <font>
      <b/>
      <sz val="8"/>
      <color indexed="45"/>
      <name val="Arial"/>
      <family val="2"/>
    </font>
    <font>
      <b/>
      <sz val="12"/>
      <color indexed="30"/>
      <name val="Arial"/>
      <family val="2"/>
    </font>
    <font>
      <b/>
      <sz val="10"/>
      <color indexed="45"/>
      <name val="Arial"/>
      <family val="2"/>
    </font>
    <font>
      <b/>
      <sz val="12"/>
      <color indexed="13"/>
      <name val="Arial"/>
      <family val="2"/>
    </font>
    <font>
      <b/>
      <sz val="8"/>
      <color indexed="15"/>
      <name val="Tahoma"/>
      <family val="2"/>
    </font>
    <font>
      <b/>
      <sz val="8"/>
      <color indexed="50"/>
      <name val="Tahoma"/>
      <family val="2"/>
    </font>
    <font>
      <b/>
      <sz val="22"/>
      <name val="Arial"/>
      <family val="2"/>
    </font>
    <font>
      <sz val="10"/>
      <name val="Arial"/>
      <family val="2"/>
    </font>
    <font>
      <b/>
      <sz val="14"/>
      <name val="Arial"/>
      <family val="2"/>
    </font>
    <font>
      <sz val="12"/>
      <name val="Arial"/>
      <family val="2"/>
    </font>
    <font>
      <sz val="11"/>
      <name val="Arial"/>
      <family val="2"/>
    </font>
    <font>
      <b/>
      <sz val="10"/>
      <color indexed="15"/>
      <name val="Arial"/>
      <family val="2"/>
    </font>
    <font>
      <b/>
      <sz val="18"/>
      <name val="Arial"/>
      <family val="2"/>
    </font>
    <font>
      <b/>
      <sz val="9"/>
      <color indexed="12"/>
      <name val="Arial"/>
      <family val="2"/>
    </font>
    <font>
      <b/>
      <sz val="8"/>
      <name val="Arial"/>
      <family val="2"/>
    </font>
    <font>
      <sz val="8"/>
      <name val="Arial"/>
      <family val="2"/>
    </font>
    <font>
      <sz val="9"/>
      <name val="Arial"/>
      <family val="2"/>
    </font>
    <font>
      <b/>
      <sz val="9"/>
      <name val="Arial"/>
      <family val="2"/>
    </font>
    <font>
      <sz val="8"/>
      <color indexed="9"/>
      <name val="Arial"/>
      <family val="2"/>
    </font>
    <font>
      <b/>
      <sz val="10"/>
      <name val="Arial"/>
      <family val="2"/>
    </font>
    <font>
      <sz val="8"/>
      <name val="Arial Narrow"/>
      <family val="2"/>
    </font>
    <font>
      <b/>
      <sz val="10"/>
      <name val="Arial"/>
      <family val="2"/>
    </font>
    <font>
      <sz val="10"/>
      <name val="Arial"/>
      <family val="2"/>
    </font>
    <font>
      <sz val="10"/>
      <name val="Arial"/>
      <family val="2"/>
    </font>
    <font>
      <b/>
      <u/>
      <sz val="10"/>
      <name val="Arial"/>
      <family val="2"/>
    </font>
    <font>
      <b/>
      <sz val="8"/>
      <color indexed="52"/>
      <name val="Tahoma"/>
      <family val="2"/>
    </font>
    <font>
      <b/>
      <sz val="10"/>
      <color indexed="40"/>
      <name val="Arial"/>
      <family val="2"/>
    </font>
    <font>
      <u/>
      <sz val="11"/>
      <color theme="10"/>
      <name val="Arial"/>
      <family val="2"/>
    </font>
    <font>
      <sz val="10"/>
      <color rgb="FFFF0000"/>
      <name val="Arial"/>
      <family val="2"/>
    </font>
    <font>
      <sz val="8"/>
      <color theme="0"/>
      <name val="Arial"/>
      <family val="2"/>
    </font>
    <font>
      <sz val="8"/>
      <color rgb="FFFF0000"/>
      <name val="Arial"/>
      <family val="2"/>
    </font>
    <font>
      <b/>
      <sz val="8"/>
      <color rgb="FFFF0000"/>
      <name val="Arial"/>
      <family val="2"/>
    </font>
    <font>
      <u/>
      <sz val="10"/>
      <color theme="10"/>
      <name val="Arial"/>
      <family val="2"/>
    </font>
    <font>
      <b/>
      <sz val="20"/>
      <color theme="10"/>
      <name val="Arial"/>
      <family val="2"/>
    </font>
    <font>
      <sz val="10"/>
      <color theme="0"/>
      <name val="Arial"/>
      <family val="2"/>
    </font>
    <font>
      <b/>
      <sz val="10"/>
      <color rgb="FFFF0000"/>
      <name val="Arial"/>
      <family val="2"/>
    </font>
    <font>
      <sz val="8"/>
      <color theme="1"/>
      <name val="Arial"/>
      <family val="2"/>
    </font>
    <font>
      <b/>
      <sz val="18"/>
      <color rgb="FFFF0000"/>
      <name val="Arial"/>
      <family val="2"/>
    </font>
    <font>
      <b/>
      <sz val="10"/>
      <color theme="1"/>
      <name val="Arial"/>
      <family val="2"/>
    </font>
    <font>
      <sz val="10"/>
      <color rgb="FFFFFFFF"/>
      <name val="Arial"/>
      <family val="2"/>
    </font>
    <font>
      <sz val="8"/>
      <color rgb="FFFF0000"/>
      <name val="Arial Narrow"/>
      <family val="2"/>
    </font>
    <font>
      <sz val="14"/>
      <color rgb="FFFF0000"/>
      <name val="Arial"/>
      <family val="2"/>
    </font>
    <font>
      <b/>
      <sz val="11"/>
      <color rgb="FF00B0F0"/>
      <name val="Arial"/>
      <family val="2"/>
    </font>
    <font>
      <b/>
      <sz val="9"/>
      <color rgb="FFFF0000"/>
      <name val="Arial"/>
      <family val="2"/>
    </font>
    <font>
      <b/>
      <sz val="20"/>
      <color rgb="FFFF0000"/>
      <name val="Arial"/>
      <family val="2"/>
    </font>
    <font>
      <b/>
      <sz val="20"/>
      <color theme="0"/>
      <name val="Arial"/>
      <family val="2"/>
    </font>
    <font>
      <u/>
      <sz val="11"/>
      <color theme="0"/>
      <name val="Arial"/>
      <family val="2"/>
    </font>
    <font>
      <sz val="12"/>
      <color theme="0"/>
      <name val="Arial"/>
      <family val="2"/>
    </font>
    <font>
      <b/>
      <sz val="9"/>
      <color theme="0"/>
      <name val="Arial"/>
      <family val="2"/>
    </font>
    <font>
      <b/>
      <sz val="8"/>
      <color theme="0"/>
      <name val="Arial"/>
      <family val="2"/>
    </font>
    <font>
      <sz val="9"/>
      <color theme="0"/>
      <name val="Arial"/>
      <family val="2"/>
    </font>
    <font>
      <b/>
      <sz val="14"/>
      <color theme="0"/>
      <name val="Arial"/>
      <family val="2"/>
    </font>
    <font>
      <sz val="8"/>
      <color theme="0"/>
      <name val="Arial Narrow"/>
      <family val="2"/>
    </font>
    <font>
      <b/>
      <sz val="10"/>
      <color theme="0"/>
      <name val="Arial"/>
      <family val="2"/>
    </font>
    <font>
      <b/>
      <sz val="18"/>
      <color theme="0"/>
      <name val="Arial"/>
      <family val="2"/>
    </font>
    <font>
      <u/>
      <sz val="8"/>
      <color theme="0"/>
      <name val="Arial"/>
      <family val="2"/>
    </font>
    <font>
      <u/>
      <sz val="14"/>
      <color theme="10"/>
      <name val="Arial"/>
      <family val="2"/>
    </font>
    <font>
      <b/>
      <sz val="22"/>
      <color rgb="FF0000FF"/>
      <name val="Arial"/>
      <family val="2"/>
    </font>
  </fonts>
  <fills count="28">
    <fill>
      <patternFill patternType="none"/>
    </fill>
    <fill>
      <patternFill patternType="gray125"/>
    </fill>
    <fill>
      <patternFill patternType="solid">
        <fgColor indexed="43"/>
        <bgColor indexed="64"/>
      </patternFill>
    </fill>
    <fill>
      <patternFill patternType="solid">
        <fgColor indexed="27"/>
        <bgColor indexed="64"/>
      </patternFill>
    </fill>
    <fill>
      <patternFill patternType="solid">
        <fgColor indexed="9"/>
        <bgColor indexed="64"/>
      </patternFill>
    </fill>
    <fill>
      <patternFill patternType="solid">
        <fgColor indexed="22"/>
        <bgColor indexed="64"/>
      </patternFill>
    </fill>
    <fill>
      <patternFill patternType="solid">
        <fgColor indexed="13"/>
        <bgColor indexed="64"/>
      </patternFill>
    </fill>
    <fill>
      <patternFill patternType="solid">
        <fgColor indexed="55"/>
        <bgColor indexed="64"/>
      </patternFill>
    </fill>
    <fill>
      <patternFill patternType="solid">
        <fgColor indexed="41"/>
        <bgColor indexed="64"/>
      </patternFill>
    </fill>
    <fill>
      <patternFill patternType="solid">
        <fgColor indexed="48"/>
        <bgColor indexed="64"/>
      </patternFill>
    </fill>
    <fill>
      <patternFill patternType="solid">
        <fgColor rgb="FFFFFF99"/>
        <bgColor indexed="64"/>
      </patternFill>
    </fill>
    <fill>
      <patternFill patternType="solid">
        <fgColor rgb="FFDDDDDD"/>
        <bgColor indexed="64"/>
      </patternFill>
    </fill>
    <fill>
      <patternFill patternType="solid">
        <fgColor theme="2"/>
        <bgColor indexed="64"/>
      </patternFill>
    </fill>
    <fill>
      <patternFill patternType="solid">
        <fgColor rgb="FFCCFFFF"/>
        <bgColor indexed="64"/>
      </patternFill>
    </fill>
    <fill>
      <patternFill patternType="solid">
        <fgColor rgb="FFEAEAEA"/>
        <bgColor indexed="64"/>
      </patternFill>
    </fill>
    <fill>
      <patternFill patternType="solid">
        <fgColor rgb="FFFFFFCC"/>
        <bgColor indexed="64"/>
      </patternFill>
    </fill>
    <fill>
      <patternFill patternType="solid">
        <fgColor rgb="FFC0C0C0"/>
        <bgColor indexed="64"/>
      </patternFill>
    </fill>
    <fill>
      <patternFill patternType="solid">
        <fgColor rgb="FFFFCCCC"/>
        <bgColor indexed="64"/>
      </patternFill>
    </fill>
    <fill>
      <patternFill patternType="solid">
        <fgColor rgb="FF65FF65"/>
        <bgColor indexed="64"/>
      </patternFill>
    </fill>
    <fill>
      <patternFill patternType="solid">
        <fgColor rgb="FF66CCFF"/>
        <bgColor indexed="64"/>
      </patternFill>
    </fill>
    <fill>
      <patternFill patternType="solid">
        <fgColor rgb="FF00B0F0"/>
        <bgColor indexed="64"/>
      </patternFill>
    </fill>
    <fill>
      <patternFill patternType="solid">
        <fgColor theme="0"/>
        <bgColor indexed="64"/>
      </patternFill>
    </fill>
    <fill>
      <patternFill patternType="solid">
        <fgColor rgb="FFFFE1E1"/>
        <bgColor indexed="64"/>
      </patternFill>
    </fill>
    <fill>
      <patternFill patternType="solid">
        <fgColor rgb="FF482400"/>
        <bgColor indexed="64"/>
      </patternFill>
    </fill>
    <fill>
      <patternFill patternType="solid">
        <fgColor rgb="FFFFF475"/>
        <bgColor indexed="64"/>
      </patternFill>
    </fill>
    <fill>
      <patternFill patternType="solid">
        <fgColor rgb="FFEA7943"/>
        <bgColor indexed="64"/>
      </patternFill>
    </fill>
    <fill>
      <patternFill patternType="solid">
        <fgColor rgb="FF996633"/>
        <bgColor indexed="64"/>
      </patternFill>
    </fill>
    <fill>
      <patternFill patternType="solid">
        <fgColor theme="0" tint="-0.14999847407452621"/>
        <bgColor indexed="64"/>
      </patternFill>
    </fill>
  </fills>
  <borders count="10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top style="thick">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style="thick">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style="thick">
        <color indexed="64"/>
      </bottom>
      <diagonal/>
    </border>
    <border>
      <left/>
      <right/>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8"/>
      </right>
      <top style="thin">
        <color indexed="64"/>
      </top>
      <bottom style="thin">
        <color indexed="8"/>
      </bottom>
      <diagonal/>
    </border>
    <border>
      <left/>
      <right style="thin">
        <color indexed="8"/>
      </right>
      <top style="thin">
        <color indexed="8"/>
      </top>
      <bottom style="thin">
        <color indexed="8"/>
      </bottom>
      <diagonal/>
    </border>
    <border>
      <left/>
      <right/>
      <top style="thin">
        <color indexed="8"/>
      </top>
      <bottom style="thin">
        <color indexed="8"/>
      </bottom>
      <diagonal/>
    </border>
    <border>
      <left style="thin">
        <color indexed="64"/>
      </left>
      <right style="thin">
        <color indexed="8"/>
      </right>
      <top style="thin">
        <color indexed="8"/>
      </top>
      <bottom style="thin">
        <color indexed="8"/>
      </bottom>
      <diagonal/>
    </border>
    <border>
      <left style="thin">
        <color indexed="64"/>
      </left>
      <right style="thin">
        <color indexed="8"/>
      </right>
      <top style="thin">
        <color indexed="8"/>
      </top>
      <bottom style="thin">
        <color indexed="64"/>
      </bottom>
      <diagonal/>
    </border>
    <border>
      <left/>
      <right style="thin">
        <color indexed="8"/>
      </right>
      <top style="thin">
        <color indexed="8"/>
      </top>
      <bottom style="thin">
        <color indexed="64"/>
      </bottom>
      <diagonal/>
    </border>
    <border>
      <left/>
      <right/>
      <top style="thin">
        <color indexed="8"/>
      </top>
      <bottom style="thin">
        <color indexed="64"/>
      </bottom>
      <diagonal/>
    </border>
    <border>
      <left style="thin">
        <color indexed="8"/>
      </left>
      <right style="thin">
        <color indexed="8"/>
      </right>
      <top style="thin">
        <color indexed="64"/>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n">
        <color indexed="64"/>
      </left>
      <right style="thin">
        <color indexed="64"/>
      </right>
      <top/>
      <bottom style="thick">
        <color indexed="64"/>
      </bottom>
      <diagonal/>
    </border>
    <border>
      <left style="thick">
        <color indexed="64"/>
      </left>
      <right/>
      <top style="thin">
        <color indexed="64"/>
      </top>
      <bottom style="thin">
        <color indexed="64"/>
      </bottom>
      <diagonal/>
    </border>
    <border>
      <left style="thick">
        <color indexed="64"/>
      </left>
      <right style="thin">
        <color indexed="64"/>
      </right>
      <top style="thin">
        <color indexed="64"/>
      </top>
      <bottom/>
      <diagonal/>
    </border>
    <border>
      <left/>
      <right style="thin">
        <color indexed="64"/>
      </right>
      <top style="thin">
        <color indexed="64"/>
      </top>
      <bottom/>
      <diagonal/>
    </border>
    <border>
      <left/>
      <right style="medium">
        <color indexed="64"/>
      </right>
      <top style="thick">
        <color indexed="64"/>
      </top>
      <bottom style="thin">
        <color indexed="64"/>
      </bottom>
      <diagonal/>
    </border>
    <border>
      <left style="thick">
        <color indexed="64"/>
      </left>
      <right style="thin">
        <color indexed="64"/>
      </right>
      <top/>
      <bottom/>
      <diagonal/>
    </border>
    <border>
      <left/>
      <right style="medium">
        <color indexed="64"/>
      </right>
      <top style="thin">
        <color indexed="64"/>
      </top>
      <bottom style="thin">
        <color indexed="64"/>
      </bottom>
      <diagonal/>
    </border>
    <border>
      <left style="thin">
        <color indexed="64"/>
      </left>
      <right/>
      <top/>
      <bottom style="medium">
        <color indexed="64"/>
      </bottom>
      <diagonal/>
    </border>
    <border>
      <left/>
      <right/>
      <top/>
      <bottom style="medium">
        <color indexed="64"/>
      </bottom>
      <diagonal/>
    </border>
    <border>
      <left style="thick">
        <color indexed="64"/>
      </left>
      <right/>
      <top style="thin">
        <color indexed="64"/>
      </top>
      <bottom/>
      <diagonal/>
    </border>
    <border>
      <left style="thick">
        <color indexed="64"/>
      </left>
      <right/>
      <top style="thick">
        <color indexed="64"/>
      </top>
      <bottom/>
      <diagonal/>
    </border>
    <border>
      <left style="thick">
        <color indexed="64"/>
      </left>
      <right/>
      <top/>
      <bottom/>
      <diagonal/>
    </border>
    <border>
      <left/>
      <right/>
      <top style="thick">
        <color indexed="64"/>
      </top>
      <bottom style="thin">
        <color indexed="64"/>
      </bottom>
      <diagonal/>
    </border>
    <border>
      <left style="thin">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ck">
        <color indexed="64"/>
      </left>
      <right style="thin">
        <color indexed="64"/>
      </right>
      <top/>
      <bottom style="thin">
        <color indexed="64"/>
      </bottom>
      <diagonal/>
    </border>
    <border>
      <left style="medium">
        <color indexed="64"/>
      </left>
      <right/>
      <top style="medium">
        <color indexed="64"/>
      </top>
      <bottom style="medium">
        <color indexed="64"/>
      </bottom>
      <diagonal/>
    </border>
    <border>
      <left style="thick">
        <color indexed="64"/>
      </left>
      <right style="thin">
        <color indexed="64"/>
      </right>
      <top style="thin">
        <color indexed="64"/>
      </top>
      <bottom style="thick">
        <color indexed="64"/>
      </bottom>
      <diagonal/>
    </border>
    <border>
      <left style="thin">
        <color indexed="64"/>
      </left>
      <right style="medium">
        <color indexed="64"/>
      </right>
      <top/>
      <bottom style="thin">
        <color indexed="64"/>
      </bottom>
      <diagonal/>
    </border>
    <border>
      <left style="medium">
        <color indexed="64"/>
      </left>
      <right/>
      <top/>
      <bottom/>
      <diagonal/>
    </border>
    <border>
      <left style="thin">
        <color indexed="64"/>
      </left>
      <right style="medium">
        <color indexed="64"/>
      </right>
      <top style="thin">
        <color indexed="64"/>
      </top>
      <bottom style="thick">
        <color indexed="64"/>
      </bottom>
      <diagonal/>
    </border>
    <border>
      <left style="thick">
        <color indexed="64"/>
      </left>
      <right/>
      <top style="thin">
        <color indexed="64"/>
      </top>
      <bottom style="thick">
        <color indexed="64"/>
      </bottom>
      <diagonal/>
    </border>
    <border>
      <left/>
      <right style="thin">
        <color indexed="64"/>
      </right>
      <top style="thin">
        <color indexed="64"/>
      </top>
      <bottom style="thick">
        <color indexed="64"/>
      </bottom>
      <diagonal/>
    </border>
    <border>
      <left style="thick">
        <color indexed="64"/>
      </left>
      <right style="thick">
        <color indexed="64"/>
      </right>
      <top style="thick">
        <color indexed="64"/>
      </top>
      <bottom style="thick">
        <color indexed="64"/>
      </bottom>
      <diagonal/>
    </border>
    <border>
      <left/>
      <right style="thin">
        <color indexed="64"/>
      </right>
      <top/>
      <bottom style="thin">
        <color indexed="64"/>
      </bottom>
      <diagonal/>
    </border>
    <border>
      <left/>
      <right style="thick">
        <color indexed="64"/>
      </right>
      <top style="thick">
        <color indexed="64"/>
      </top>
      <bottom style="thin">
        <color indexed="64"/>
      </bottom>
      <diagonal/>
    </border>
    <border>
      <left style="medium">
        <color indexed="64"/>
      </left>
      <right/>
      <top style="thick">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diagonal/>
    </border>
    <border>
      <left/>
      <right style="medium">
        <color indexed="64"/>
      </right>
      <top/>
      <bottom style="thin">
        <color indexed="64"/>
      </bottom>
      <diagonal/>
    </border>
    <border>
      <left style="medium">
        <color indexed="64"/>
      </left>
      <right style="medium">
        <color indexed="64"/>
      </right>
      <top/>
      <bottom style="thick">
        <color indexed="64"/>
      </bottom>
      <diagonal/>
    </border>
    <border>
      <left style="medium">
        <color indexed="64"/>
      </left>
      <right/>
      <top/>
      <bottom style="thick">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style="thin">
        <color indexed="64"/>
      </top>
      <bottom style="thick">
        <color indexed="64"/>
      </bottom>
      <diagonal/>
    </border>
    <border>
      <left/>
      <right style="medium">
        <color indexed="64"/>
      </right>
      <top style="medium">
        <color indexed="64"/>
      </top>
      <bottom style="thin">
        <color indexed="64"/>
      </bottom>
      <diagonal/>
    </border>
    <border>
      <left/>
      <right style="medium">
        <color indexed="64"/>
      </right>
      <top/>
      <bottom style="thick">
        <color indexed="64"/>
      </bottom>
      <diagonal/>
    </border>
    <border>
      <left style="medium">
        <color indexed="64"/>
      </left>
      <right/>
      <top style="thin">
        <color indexed="64"/>
      </top>
      <bottom style="thick">
        <color indexed="64"/>
      </bottom>
      <diagonal/>
    </border>
    <border>
      <left/>
      <right style="medium">
        <color indexed="64"/>
      </right>
      <top style="thin">
        <color indexed="64"/>
      </top>
      <bottom style="thick">
        <color indexed="64"/>
      </bottom>
      <diagonal/>
    </border>
    <border>
      <left/>
      <right/>
      <top style="thin">
        <color indexed="64"/>
      </top>
      <bottom style="thick">
        <color indexed="64"/>
      </bottom>
      <diagonal/>
    </border>
    <border>
      <left/>
      <right style="thin">
        <color indexed="64"/>
      </right>
      <top/>
      <bottom style="medium">
        <color indexed="64"/>
      </bottom>
      <diagonal/>
    </border>
    <border>
      <left style="thin">
        <color indexed="64"/>
      </left>
      <right/>
      <top/>
      <bottom style="thick">
        <color indexed="64"/>
      </bottom>
      <diagonal/>
    </border>
    <border>
      <left/>
      <right/>
      <top/>
      <bottom style="thick">
        <color indexed="64"/>
      </bottom>
      <diagonal/>
    </border>
    <border>
      <left/>
      <right style="thin">
        <color indexed="64"/>
      </right>
      <top/>
      <bottom style="thick">
        <color indexed="64"/>
      </bottom>
      <diagonal/>
    </border>
    <border>
      <left/>
      <right style="thin">
        <color indexed="64"/>
      </right>
      <top style="medium">
        <color indexed="64"/>
      </top>
      <bottom style="medium">
        <color indexed="64"/>
      </bottom>
      <diagonal/>
    </border>
    <border>
      <left/>
      <right/>
      <top style="medium">
        <color indexed="64"/>
      </top>
      <bottom/>
      <diagonal/>
    </border>
    <border>
      <left/>
      <right style="thin">
        <color indexed="64"/>
      </right>
      <top style="medium">
        <color indexed="64"/>
      </top>
      <bottom/>
      <diagonal/>
    </border>
    <border>
      <left style="medium">
        <color indexed="64"/>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3">
    <xf numFmtId="0" fontId="0" fillId="0" borderId="0"/>
    <xf numFmtId="0" fontId="101" fillId="0" borderId="0" applyNumberFormat="0" applyFill="0" applyBorder="0" applyAlignment="0" applyProtection="0">
      <alignment vertical="top"/>
      <protection locked="0"/>
    </xf>
    <xf numFmtId="0" fontId="5" fillId="0" borderId="0"/>
  </cellStyleXfs>
  <cellXfs count="822">
    <xf numFmtId="0" fontId="0" fillId="0" borderId="0" xfId="0"/>
    <xf numFmtId="0" fontId="5" fillId="0" borderId="0" xfId="0" applyFont="1"/>
    <xf numFmtId="165" fontId="0" fillId="2" borderId="1" xfId="0" applyNumberFormat="1" applyFill="1" applyBorder="1" applyAlignment="1" applyProtection="1">
      <alignment horizontal="center" vertical="center"/>
      <protection hidden="1"/>
    </xf>
    <xf numFmtId="165" fontId="7" fillId="2" borderId="2" xfId="0" applyNumberFormat="1" applyFont="1" applyFill="1" applyBorder="1" applyAlignment="1" applyProtection="1">
      <alignment horizontal="center" vertical="center"/>
      <protection hidden="1"/>
    </xf>
    <xf numFmtId="165" fontId="7" fillId="2" borderId="1" xfId="0" applyNumberFormat="1" applyFont="1" applyFill="1" applyBorder="1" applyAlignment="1" applyProtection="1">
      <alignment horizontal="center" vertical="center"/>
      <protection hidden="1"/>
    </xf>
    <xf numFmtId="1" fontId="7" fillId="2" borderId="1" xfId="0" applyNumberFormat="1" applyFont="1" applyFill="1" applyBorder="1" applyAlignment="1" applyProtection="1">
      <alignment horizontal="center" vertical="center"/>
      <protection hidden="1"/>
    </xf>
    <xf numFmtId="165" fontId="7" fillId="2" borderId="3" xfId="0" applyNumberFormat="1" applyFont="1" applyFill="1" applyBorder="1" applyAlignment="1" applyProtection="1">
      <alignment horizontal="center" vertical="center"/>
      <protection hidden="1"/>
    </xf>
    <xf numFmtId="0" fontId="7" fillId="3" borderId="1" xfId="0" applyFont="1" applyFill="1" applyBorder="1" applyAlignment="1" applyProtection="1">
      <alignment horizontal="left" vertical="center"/>
      <protection locked="0"/>
    </xf>
    <xf numFmtId="0" fontId="7" fillId="3" borderId="1" xfId="0" applyFont="1" applyFill="1" applyBorder="1" applyAlignment="1" applyProtection="1">
      <alignment horizontal="center" vertical="center" wrapText="1"/>
      <protection locked="0"/>
    </xf>
    <xf numFmtId="0" fontId="7" fillId="3" borderId="4" xfId="0" applyFont="1" applyFill="1" applyBorder="1" applyAlignment="1" applyProtection="1">
      <alignment horizontal="left" vertical="center"/>
      <protection locked="0"/>
    </xf>
    <xf numFmtId="0" fontId="7" fillId="3" borderId="1" xfId="0" applyFont="1" applyFill="1" applyBorder="1" applyAlignment="1" applyProtection="1">
      <alignment vertical="center" wrapText="1"/>
      <protection locked="0"/>
    </xf>
    <xf numFmtId="0" fontId="14" fillId="0" borderId="0" xfId="0" applyFont="1" applyAlignment="1">
      <alignment wrapText="1"/>
    </xf>
    <xf numFmtId="1" fontId="7" fillId="0" borderId="0" xfId="0" applyNumberFormat="1" applyFont="1" applyAlignment="1" applyProtection="1">
      <alignment horizontal="center" vertical="center"/>
      <protection hidden="1"/>
    </xf>
    <xf numFmtId="165" fontId="7" fillId="0" borderId="0" xfId="0" applyNumberFormat="1" applyFont="1" applyAlignment="1" applyProtection="1">
      <alignment horizontal="center" vertical="center"/>
      <protection hidden="1"/>
    </xf>
    <xf numFmtId="0" fontId="5" fillId="0" borderId="0" xfId="0" applyFont="1" applyProtection="1">
      <protection hidden="1"/>
    </xf>
    <xf numFmtId="165" fontId="7" fillId="2" borderId="4" xfId="0" applyNumberFormat="1" applyFont="1" applyFill="1" applyBorder="1" applyAlignment="1" applyProtection="1">
      <alignment horizontal="center" vertical="center"/>
      <protection hidden="1"/>
    </xf>
    <xf numFmtId="1" fontId="5" fillId="2" borderId="3" xfId="0" applyNumberFormat="1" applyFont="1" applyFill="1" applyBorder="1" applyAlignment="1" applyProtection="1">
      <alignment horizontal="center" vertical="center"/>
      <protection hidden="1"/>
    </xf>
    <xf numFmtId="1" fontId="5" fillId="2" borderId="5" xfId="0" applyNumberFormat="1" applyFont="1" applyFill="1" applyBorder="1" applyAlignment="1" applyProtection="1">
      <alignment horizontal="center" vertical="center"/>
      <protection hidden="1"/>
    </xf>
    <xf numFmtId="165" fontId="7" fillId="4" borderId="6" xfId="0" applyNumberFormat="1" applyFont="1" applyFill="1" applyBorder="1" applyAlignment="1" applyProtection="1">
      <alignment horizontal="center" vertical="center"/>
      <protection hidden="1"/>
    </xf>
    <xf numFmtId="0" fontId="7" fillId="0" borderId="0" xfId="0" applyFont="1" applyProtection="1">
      <protection hidden="1"/>
    </xf>
    <xf numFmtId="165" fontId="7" fillId="0" borderId="7" xfId="0" applyNumberFormat="1" applyFont="1" applyBorder="1" applyAlignment="1" applyProtection="1">
      <alignment horizontal="center" vertical="center"/>
      <protection hidden="1"/>
    </xf>
    <xf numFmtId="0" fontId="11" fillId="0" borderId="4" xfId="0" applyFont="1" applyBorder="1" applyAlignment="1">
      <alignment horizontal="right" vertical="center"/>
    </xf>
    <xf numFmtId="0" fontId="7" fillId="0" borderId="0" xfId="0" applyFont="1" applyAlignment="1">
      <alignment vertical="center"/>
    </xf>
    <xf numFmtId="0" fontId="11" fillId="0" borderId="1" xfId="0" applyFont="1" applyBorder="1" applyAlignment="1">
      <alignment horizontal="right" vertical="center"/>
    </xf>
    <xf numFmtId="2" fontId="7" fillId="0" borderId="0" xfId="0" applyNumberFormat="1" applyFont="1" applyAlignment="1">
      <alignment vertical="center"/>
    </xf>
    <xf numFmtId="2" fontId="7" fillId="0" borderId="0" xfId="0" applyNumberFormat="1" applyFont="1" applyAlignment="1" applyProtection="1">
      <alignment vertical="center"/>
      <protection hidden="1"/>
    </xf>
    <xf numFmtId="1" fontId="7" fillId="2" borderId="8" xfId="0" applyNumberFormat="1" applyFont="1" applyFill="1" applyBorder="1" applyAlignment="1" applyProtection="1">
      <alignment horizontal="center" vertical="center"/>
      <protection hidden="1"/>
    </xf>
    <xf numFmtId="0" fontId="7" fillId="5" borderId="1" xfId="0" applyFont="1" applyFill="1" applyBorder="1" applyAlignment="1" applyProtection="1">
      <alignment horizontal="center" vertical="center" wrapText="1"/>
      <protection hidden="1"/>
    </xf>
    <xf numFmtId="0" fontId="7" fillId="5" borderId="9" xfId="0" applyFont="1" applyFill="1" applyBorder="1" applyAlignment="1" applyProtection="1">
      <alignment horizontal="center" vertical="center" wrapText="1"/>
      <protection hidden="1"/>
    </xf>
    <xf numFmtId="0" fontId="7" fillId="5" borderId="1" xfId="0" applyFont="1" applyFill="1" applyBorder="1" applyAlignment="1" applyProtection="1">
      <alignment horizontal="center" wrapText="1"/>
      <protection hidden="1"/>
    </xf>
    <xf numFmtId="0" fontId="7" fillId="5" borderId="9" xfId="0" applyFont="1" applyFill="1" applyBorder="1" applyAlignment="1" applyProtection="1">
      <alignment horizontal="center" wrapText="1"/>
      <protection hidden="1"/>
    </xf>
    <xf numFmtId="0" fontId="0" fillId="0" borderId="0" xfId="0" applyProtection="1">
      <protection hidden="1"/>
    </xf>
    <xf numFmtId="0" fontId="5" fillId="0" borderId="0" xfId="0" applyFont="1" applyAlignment="1" applyProtection="1">
      <alignment vertical="center"/>
      <protection hidden="1"/>
    </xf>
    <xf numFmtId="0" fontId="0" fillId="0" borderId="0" xfId="0" applyAlignment="1" applyProtection="1">
      <alignment vertical="center"/>
      <protection hidden="1"/>
    </xf>
    <xf numFmtId="0" fontId="5" fillId="0" borderId="1" xfId="0" applyFont="1" applyBorder="1" applyAlignment="1" applyProtection="1">
      <alignment horizontal="center" vertical="center" wrapText="1"/>
      <protection hidden="1"/>
    </xf>
    <xf numFmtId="0" fontId="11" fillId="0" borderId="4" xfId="0" applyFont="1" applyBorder="1" applyAlignment="1" applyProtection="1">
      <alignment horizontal="right" vertical="center"/>
      <protection hidden="1"/>
    </xf>
    <xf numFmtId="0" fontId="7" fillId="0" borderId="0" xfId="0" applyFont="1" applyAlignment="1" applyProtection="1">
      <alignment vertical="center"/>
      <protection hidden="1"/>
    </xf>
    <xf numFmtId="0" fontId="11" fillId="0" borderId="1" xfId="0" applyFont="1" applyBorder="1" applyAlignment="1" applyProtection="1">
      <alignment horizontal="right" vertical="center"/>
      <protection hidden="1"/>
    </xf>
    <xf numFmtId="165" fontId="7" fillId="2" borderId="9" xfId="0" applyNumberFormat="1" applyFont="1" applyFill="1" applyBorder="1" applyAlignment="1" applyProtection="1">
      <alignment horizontal="center" vertical="center"/>
      <protection hidden="1"/>
    </xf>
    <xf numFmtId="165" fontId="7" fillId="2" borderId="10" xfId="0" applyNumberFormat="1" applyFont="1" applyFill="1" applyBorder="1" applyAlignment="1" applyProtection="1">
      <alignment horizontal="center" vertical="center"/>
      <protection hidden="1"/>
    </xf>
    <xf numFmtId="165" fontId="7" fillId="2" borderId="11" xfId="0" applyNumberFormat="1" applyFont="1" applyFill="1" applyBorder="1" applyAlignment="1" applyProtection="1">
      <alignment horizontal="center" vertical="center"/>
      <protection hidden="1"/>
    </xf>
    <xf numFmtId="0" fontId="0" fillId="4" borderId="0" xfId="0" applyFill="1"/>
    <xf numFmtId="14" fontId="14" fillId="0" borderId="0" xfId="0" applyNumberFormat="1" applyFont="1" applyAlignment="1">
      <alignment wrapText="1"/>
    </xf>
    <xf numFmtId="2" fontId="0" fillId="6" borderId="5" xfId="0" applyNumberFormat="1" applyFill="1" applyBorder="1" applyAlignment="1" applyProtection="1">
      <alignment horizontal="center" vertical="center"/>
      <protection hidden="1"/>
    </xf>
    <xf numFmtId="165" fontId="11" fillId="6" borderId="1" xfId="0" applyNumberFormat="1" applyFont="1" applyFill="1" applyBorder="1" applyAlignment="1" applyProtection="1">
      <alignment horizontal="center" vertical="center"/>
      <protection hidden="1"/>
    </xf>
    <xf numFmtId="0" fontId="5" fillId="0" borderId="0" xfId="2"/>
    <xf numFmtId="1" fontId="5" fillId="2" borderId="12" xfId="0" applyNumberFormat="1" applyFont="1" applyFill="1" applyBorder="1" applyAlignment="1" applyProtection="1">
      <alignment horizontal="center" vertical="center"/>
      <protection hidden="1"/>
    </xf>
    <xf numFmtId="0" fontId="5" fillId="0" borderId="1" xfId="0" applyFont="1" applyBorder="1" applyAlignment="1" applyProtection="1">
      <alignment horizontal="center" vertical="center"/>
      <protection hidden="1"/>
    </xf>
    <xf numFmtId="165" fontId="5" fillId="2" borderId="5" xfId="0" applyNumberFormat="1" applyFont="1" applyFill="1" applyBorder="1" applyAlignment="1">
      <alignment horizontal="center" vertical="center"/>
    </xf>
    <xf numFmtId="165" fontId="36" fillId="0" borderId="7" xfId="0" applyNumberFormat="1" applyFont="1" applyBorder="1" applyAlignment="1" applyProtection="1">
      <alignment horizontal="left" vertical="center"/>
      <protection hidden="1"/>
    </xf>
    <xf numFmtId="0" fontId="7" fillId="5" borderId="13" xfId="0" applyFont="1" applyFill="1" applyBorder="1" applyProtection="1">
      <protection hidden="1"/>
    </xf>
    <xf numFmtId="0" fontId="7" fillId="5" borderId="14" xfId="0" applyFont="1" applyFill="1" applyBorder="1" applyAlignment="1" applyProtection="1">
      <alignment horizontal="center" vertical="center" wrapText="1"/>
      <protection hidden="1"/>
    </xf>
    <xf numFmtId="0" fontId="7" fillId="5" borderId="10" xfId="0" applyFont="1" applyFill="1" applyBorder="1" applyAlignment="1" applyProtection="1">
      <alignment horizontal="center" vertical="center" wrapText="1"/>
      <protection hidden="1"/>
    </xf>
    <xf numFmtId="0" fontId="38" fillId="5" borderId="3" xfId="0" applyFont="1" applyFill="1" applyBorder="1" applyProtection="1">
      <protection hidden="1"/>
    </xf>
    <xf numFmtId="0" fontId="18" fillId="5" borderId="13" xfId="0" applyFont="1" applyFill="1" applyBorder="1" applyProtection="1">
      <protection hidden="1"/>
    </xf>
    <xf numFmtId="2" fontId="0" fillId="2" borderId="3" xfId="0" applyNumberFormat="1" applyFill="1" applyBorder="1" applyAlignment="1">
      <alignment horizontal="center" vertical="center"/>
    </xf>
    <xf numFmtId="0" fontId="0" fillId="0" borderId="1" xfId="0" applyBorder="1" applyAlignment="1" applyProtection="1">
      <alignment horizontal="center" vertical="center"/>
      <protection hidden="1"/>
    </xf>
    <xf numFmtId="165" fontId="7" fillId="4" borderId="2" xfId="0" applyNumberFormat="1" applyFont="1" applyFill="1" applyBorder="1" applyAlignment="1" applyProtection="1">
      <alignment horizontal="center" vertical="center"/>
      <protection hidden="1"/>
    </xf>
    <xf numFmtId="165" fontId="7" fillId="4" borderId="1" xfId="0" applyNumberFormat="1" applyFont="1" applyFill="1" applyBorder="1" applyAlignment="1" applyProtection="1">
      <alignment horizontal="center" vertical="center"/>
      <protection hidden="1"/>
    </xf>
    <xf numFmtId="165" fontId="7" fillId="4" borderId="15" xfId="0" applyNumberFormat="1" applyFont="1" applyFill="1" applyBorder="1" applyAlignment="1" applyProtection="1">
      <alignment horizontal="center" vertical="center"/>
      <protection hidden="1"/>
    </xf>
    <xf numFmtId="165" fontId="7" fillId="4" borderId="3" xfId="0" applyNumberFormat="1" applyFont="1" applyFill="1" applyBorder="1" applyAlignment="1" applyProtection="1">
      <alignment horizontal="center" vertical="center"/>
      <protection hidden="1"/>
    </xf>
    <xf numFmtId="0" fontId="2" fillId="0" borderId="16" xfId="2" applyFont="1" applyBorder="1" applyAlignment="1">
      <alignment horizontal="left"/>
    </xf>
    <xf numFmtId="0" fontId="5" fillId="0" borderId="16" xfId="2" applyBorder="1"/>
    <xf numFmtId="0" fontId="5" fillId="0" borderId="16" xfId="2" applyBorder="1" applyAlignment="1">
      <alignment horizontal="right"/>
    </xf>
    <xf numFmtId="0" fontId="5" fillId="3" borderId="17" xfId="2" applyFill="1" applyBorder="1" applyAlignment="1">
      <alignment horizontal="left" wrapText="1"/>
    </xf>
    <xf numFmtId="0" fontId="5" fillId="3" borderId="0" xfId="2" applyFill="1" applyAlignment="1">
      <alignment horizontal="left" wrapText="1"/>
    </xf>
    <xf numFmtId="0" fontId="5" fillId="3" borderId="18" xfId="2" applyFill="1" applyBorder="1" applyAlignment="1">
      <alignment horizontal="left" wrapText="1"/>
    </xf>
    <xf numFmtId="0" fontId="27" fillId="0" borderId="9" xfId="2" applyFont="1" applyBorder="1" applyAlignment="1">
      <alignment horizontal="center"/>
    </xf>
    <xf numFmtId="0" fontId="27" fillId="0" borderId="4" xfId="2" applyFont="1" applyBorder="1" applyAlignment="1">
      <alignment horizontal="center"/>
    </xf>
    <xf numFmtId="0" fontId="7" fillId="0" borderId="1" xfId="2" applyFont="1" applyBorder="1" applyAlignment="1">
      <alignment horizontal="center"/>
    </xf>
    <xf numFmtId="0" fontId="7" fillId="0" borderId="3" xfId="2" applyFont="1" applyBorder="1" applyAlignment="1">
      <alignment horizontal="center"/>
    </xf>
    <xf numFmtId="0" fontId="25" fillId="0" borderId="19" xfId="2" applyFont="1" applyBorder="1" applyAlignment="1">
      <alignment horizontal="center" vertical="top" wrapText="1"/>
    </xf>
    <xf numFmtId="0" fontId="26" fillId="0" borderId="20" xfId="2" applyFont="1" applyBorder="1" applyAlignment="1">
      <alignment horizontal="center" vertical="top" wrapText="1"/>
    </xf>
    <xf numFmtId="0" fontId="26" fillId="0" borderId="21" xfId="2" applyFont="1" applyBorder="1" applyAlignment="1">
      <alignment horizontal="center" vertical="top" wrapText="1"/>
    </xf>
    <xf numFmtId="0" fontId="25" fillId="0" borderId="22" xfId="2" applyFont="1" applyBorder="1" applyAlignment="1">
      <alignment horizontal="center" vertical="top" wrapText="1"/>
    </xf>
    <xf numFmtId="0" fontId="5" fillId="3" borderId="14" xfId="2" applyFill="1" applyBorder="1" applyAlignment="1">
      <alignment horizontal="left" wrapText="1"/>
    </xf>
    <xf numFmtId="0" fontId="25" fillId="0" borderId="23" xfId="2" applyFont="1" applyBorder="1" applyAlignment="1">
      <alignment horizontal="center" vertical="top" wrapText="1"/>
    </xf>
    <xf numFmtId="0" fontId="26" fillId="0" borderId="24" xfId="2" applyFont="1" applyBorder="1" applyAlignment="1">
      <alignment horizontal="center" vertical="top" wrapText="1"/>
    </xf>
    <xf numFmtId="0" fontId="26" fillId="0" borderId="25" xfId="2" applyFont="1" applyBorder="1" applyAlignment="1">
      <alignment horizontal="center" vertical="top" wrapText="1"/>
    </xf>
    <xf numFmtId="0" fontId="26" fillId="0" borderId="26" xfId="2" applyFont="1" applyBorder="1" applyAlignment="1">
      <alignment horizontal="center" vertical="top" wrapText="1"/>
    </xf>
    <xf numFmtId="0" fontId="26" fillId="0" borderId="27" xfId="2" applyFont="1" applyBorder="1" applyAlignment="1">
      <alignment horizontal="center" vertical="top" wrapText="1"/>
    </xf>
    <xf numFmtId="0" fontId="26" fillId="0" borderId="28" xfId="2" applyFont="1" applyBorder="1" applyAlignment="1">
      <alignment horizontal="center" vertical="top" wrapText="1"/>
    </xf>
    <xf numFmtId="0" fontId="35" fillId="0" borderId="0" xfId="0" applyFont="1" applyAlignment="1" applyProtection="1">
      <alignment horizontal="left" vertical="center"/>
      <protection hidden="1"/>
    </xf>
    <xf numFmtId="0" fontId="1" fillId="7" borderId="1" xfId="0" applyFont="1" applyFill="1" applyBorder="1" applyAlignment="1" applyProtection="1">
      <alignment horizontal="center" vertical="center"/>
      <protection hidden="1"/>
    </xf>
    <xf numFmtId="0" fontId="0" fillId="0" borderId="29" xfId="0" applyBorder="1" applyProtection="1">
      <protection hidden="1"/>
    </xf>
    <xf numFmtId="0" fontId="0" fillId="0" borderId="30" xfId="0" applyBorder="1" applyProtection="1">
      <protection hidden="1"/>
    </xf>
    <xf numFmtId="0" fontId="5" fillId="0" borderId="31" xfId="0" applyFont="1" applyBorder="1" applyAlignment="1" applyProtection="1">
      <alignment horizontal="center" vertical="center"/>
      <protection hidden="1"/>
    </xf>
    <xf numFmtId="1" fontId="5" fillId="0" borderId="31" xfId="0" applyNumberFormat="1" applyFont="1" applyBorder="1" applyAlignment="1" applyProtection="1">
      <alignment horizontal="center" vertical="center"/>
      <protection hidden="1"/>
    </xf>
    <xf numFmtId="0" fontId="5" fillId="0" borderId="32" xfId="0" applyFont="1" applyBorder="1" applyAlignment="1" applyProtection="1">
      <alignment horizontal="center" vertical="center"/>
      <protection hidden="1"/>
    </xf>
    <xf numFmtId="0" fontId="5" fillId="0" borderId="0" xfId="0" applyFont="1" applyAlignment="1" applyProtection="1">
      <alignment horizontal="center" vertical="center"/>
      <protection hidden="1"/>
    </xf>
    <xf numFmtId="1" fontId="5" fillId="0" borderId="0" xfId="0" applyNumberFormat="1" applyFont="1" applyAlignment="1" applyProtection="1">
      <alignment horizontal="center" vertical="center"/>
      <protection hidden="1"/>
    </xf>
    <xf numFmtId="0" fontId="0" fillId="5" borderId="33" xfId="0" applyFill="1" applyBorder="1" applyProtection="1">
      <protection hidden="1"/>
    </xf>
    <xf numFmtId="0" fontId="0" fillId="5" borderId="34" xfId="0" applyFill="1" applyBorder="1" applyProtection="1">
      <protection hidden="1"/>
    </xf>
    <xf numFmtId="1" fontId="1" fillId="2" borderId="31" xfId="0" applyNumberFormat="1" applyFont="1" applyFill="1" applyBorder="1" applyAlignment="1">
      <alignment horizontal="center" vertical="center" wrapText="1"/>
    </xf>
    <xf numFmtId="1" fontId="1" fillId="2" borderId="35" xfId="0" applyNumberFormat="1" applyFont="1" applyFill="1" applyBorder="1" applyAlignment="1">
      <alignment horizontal="center" vertical="center" wrapText="1"/>
    </xf>
    <xf numFmtId="1" fontId="1" fillId="2" borderId="1" xfId="0" applyNumberFormat="1" applyFont="1" applyFill="1" applyBorder="1" applyAlignment="1">
      <alignment horizontal="center" vertical="center"/>
    </xf>
    <xf numFmtId="1" fontId="1" fillId="2" borderId="36" xfId="0" applyNumberFormat="1" applyFont="1" applyFill="1" applyBorder="1" applyAlignment="1">
      <alignment horizontal="center" vertical="center"/>
    </xf>
    <xf numFmtId="0" fontId="102" fillId="0" borderId="0" xfId="0" applyFont="1"/>
    <xf numFmtId="0" fontId="102" fillId="0" borderId="0" xfId="0" applyFont="1" applyProtection="1">
      <protection hidden="1"/>
    </xf>
    <xf numFmtId="0" fontId="103" fillId="0" borderId="0" xfId="0" applyFont="1" applyProtection="1">
      <protection hidden="1"/>
    </xf>
    <xf numFmtId="0" fontId="104" fillId="0" borderId="0" xfId="0" applyFont="1" applyProtection="1">
      <protection hidden="1"/>
    </xf>
    <xf numFmtId="0" fontId="105" fillId="0" borderId="0" xfId="0" applyFont="1" applyAlignment="1" applyProtection="1">
      <alignment horizontal="right"/>
      <protection hidden="1"/>
    </xf>
    <xf numFmtId="2" fontId="5" fillId="2" borderId="8" xfId="0" applyNumberFormat="1" applyFont="1" applyFill="1" applyBorder="1" applyAlignment="1">
      <alignment horizontal="center" vertical="center"/>
    </xf>
    <xf numFmtId="165" fontId="7" fillId="10" borderId="2" xfId="0" applyNumberFormat="1" applyFont="1" applyFill="1" applyBorder="1" applyAlignment="1" applyProtection="1">
      <alignment horizontal="center" vertical="center"/>
      <protection hidden="1"/>
    </xf>
    <xf numFmtId="0" fontId="101" fillId="0" borderId="0" xfId="1" applyBorder="1" applyAlignment="1" applyProtection="1">
      <alignment vertical="center"/>
    </xf>
    <xf numFmtId="0" fontId="104" fillId="0" borderId="0" xfId="0" applyFont="1" applyAlignment="1" applyProtection="1">
      <alignment vertical="center"/>
      <protection hidden="1"/>
    </xf>
    <xf numFmtId="0" fontId="104" fillId="4" borderId="0" xfId="0" applyFont="1" applyFill="1" applyAlignment="1" applyProtection="1">
      <alignment horizontal="center" wrapText="1"/>
      <protection hidden="1"/>
    </xf>
    <xf numFmtId="0" fontId="104" fillId="4" borderId="0" xfId="0" applyFont="1" applyFill="1" applyProtection="1">
      <protection hidden="1"/>
    </xf>
    <xf numFmtId="2" fontId="7" fillId="0" borderId="0" xfId="0" applyNumberFormat="1" applyFont="1" applyAlignment="1" applyProtection="1">
      <alignment horizontal="left" vertical="center"/>
      <protection hidden="1"/>
    </xf>
    <xf numFmtId="0" fontId="12" fillId="11" borderId="37" xfId="0" applyFont="1" applyFill="1" applyBorder="1" applyAlignment="1" applyProtection="1">
      <alignment horizontal="center" vertical="center" wrapText="1"/>
      <protection hidden="1"/>
    </xf>
    <xf numFmtId="0" fontId="12" fillId="11" borderId="35" xfId="0" applyFont="1" applyFill="1" applyBorder="1" applyAlignment="1" applyProtection="1">
      <alignment horizontal="center" vertical="center" wrapText="1"/>
      <protection hidden="1"/>
    </xf>
    <xf numFmtId="0" fontId="44" fillId="0" borderId="0" xfId="0" applyFont="1" applyAlignment="1" applyProtection="1">
      <alignment vertical="center"/>
      <protection locked="0"/>
    </xf>
    <xf numFmtId="165" fontId="5" fillId="0" borderId="0" xfId="0" applyNumberFormat="1" applyFont="1" applyAlignment="1">
      <alignment vertical="center"/>
    </xf>
    <xf numFmtId="0" fontId="5" fillId="12" borderId="0" xfId="0" applyFont="1" applyFill="1" applyAlignment="1" applyProtection="1">
      <alignment vertical="center"/>
      <protection hidden="1"/>
    </xf>
    <xf numFmtId="0" fontId="44" fillId="12" borderId="0" xfId="0" applyFont="1" applyFill="1" applyAlignment="1" applyProtection="1">
      <alignment vertical="center"/>
      <protection hidden="1"/>
    </xf>
    <xf numFmtId="0" fontId="0" fillId="12" borderId="0" xfId="0" applyFill="1" applyProtection="1">
      <protection hidden="1"/>
    </xf>
    <xf numFmtId="0" fontId="5" fillId="12" borderId="0" xfId="0" applyFont="1" applyFill="1" applyProtection="1">
      <protection hidden="1"/>
    </xf>
    <xf numFmtId="1" fontId="5" fillId="12" borderId="0" xfId="0" applyNumberFormat="1" applyFont="1" applyFill="1" applyAlignment="1" applyProtection="1">
      <alignment horizontal="center" vertical="center"/>
      <protection hidden="1"/>
    </xf>
    <xf numFmtId="2" fontId="5" fillId="12" borderId="0" xfId="0" applyNumberFormat="1" applyFont="1" applyFill="1" applyAlignment="1" applyProtection="1">
      <alignment horizontal="center" vertical="center" wrapText="1"/>
      <protection hidden="1"/>
    </xf>
    <xf numFmtId="2" fontId="5" fillId="12" borderId="0" xfId="0" applyNumberFormat="1" applyFont="1" applyFill="1" applyAlignment="1" applyProtection="1">
      <alignment horizontal="center" vertical="center"/>
      <protection hidden="1"/>
    </xf>
    <xf numFmtId="165" fontId="5" fillId="12" borderId="0" xfId="0" applyNumberFormat="1" applyFont="1" applyFill="1" applyAlignment="1" applyProtection="1">
      <alignment vertical="center"/>
      <protection hidden="1"/>
    </xf>
    <xf numFmtId="165" fontId="1" fillId="12" borderId="0" xfId="0" applyNumberFormat="1" applyFont="1" applyFill="1" applyAlignment="1" applyProtection="1">
      <alignment vertical="center"/>
      <protection hidden="1"/>
    </xf>
    <xf numFmtId="2" fontId="5" fillId="12" borderId="0" xfId="0" applyNumberFormat="1" applyFont="1" applyFill="1" applyAlignment="1" applyProtection="1">
      <alignment vertical="center"/>
      <protection hidden="1"/>
    </xf>
    <xf numFmtId="2" fontId="7" fillId="2" borderId="1" xfId="0" applyNumberFormat="1" applyFont="1" applyFill="1" applyBorder="1" applyAlignment="1" applyProtection="1">
      <alignment horizontal="center" vertical="center"/>
      <protection hidden="1"/>
    </xf>
    <xf numFmtId="2" fontId="7" fillId="2" borderId="3" xfId="0" applyNumberFormat="1" applyFont="1" applyFill="1" applyBorder="1" applyAlignment="1" applyProtection="1">
      <alignment horizontal="center" vertical="center"/>
      <protection hidden="1"/>
    </xf>
    <xf numFmtId="1" fontId="5" fillId="10" borderId="5" xfId="0" applyNumberFormat="1" applyFont="1" applyFill="1" applyBorder="1" applyAlignment="1" applyProtection="1">
      <alignment horizontal="center" vertical="center"/>
      <protection hidden="1"/>
    </xf>
    <xf numFmtId="0" fontId="106" fillId="0" borderId="0" xfId="1" applyFont="1" applyBorder="1" applyAlignment="1" applyProtection="1">
      <alignment horizontal="right" vertical="center"/>
    </xf>
    <xf numFmtId="0" fontId="11" fillId="0" borderId="16" xfId="0" applyFont="1" applyBorder="1" applyAlignment="1" applyProtection="1">
      <alignment vertical="center"/>
      <protection hidden="1"/>
    </xf>
    <xf numFmtId="0" fontId="35" fillId="0" borderId="38" xfId="0" quotePrefix="1" applyFont="1" applyBorder="1" applyAlignment="1" applyProtection="1">
      <alignment vertical="center"/>
      <protection hidden="1"/>
    </xf>
    <xf numFmtId="165" fontId="1" fillId="2" borderId="32" xfId="0" applyNumberFormat="1" applyFont="1" applyFill="1" applyBorder="1" applyAlignment="1">
      <alignment horizontal="center" vertical="center" wrapText="1"/>
    </xf>
    <xf numFmtId="0" fontId="12" fillId="0" borderId="0" xfId="0" applyFont="1" applyAlignment="1">
      <alignment vertical="center" wrapText="1"/>
    </xf>
    <xf numFmtId="0" fontId="19" fillId="0" borderId="17" xfId="2" applyFont="1" applyBorder="1" applyAlignment="1">
      <alignment vertical="center"/>
    </xf>
    <xf numFmtId="0" fontId="19" fillId="0" borderId="0" xfId="2" applyFont="1" applyAlignment="1">
      <alignment vertical="center"/>
    </xf>
    <xf numFmtId="0" fontId="50" fillId="0" borderId="11" xfId="0" applyFont="1" applyBorder="1" applyAlignment="1">
      <alignment vertical="center"/>
    </xf>
    <xf numFmtId="165" fontId="0" fillId="10" borderId="1" xfId="0" applyNumberFormat="1" applyFill="1" applyBorder="1" applyAlignment="1" applyProtection="1">
      <alignment horizontal="center" vertical="center"/>
      <protection hidden="1"/>
    </xf>
    <xf numFmtId="2" fontId="36" fillId="5" borderId="1" xfId="0" applyNumberFormat="1" applyFont="1" applyFill="1" applyBorder="1" applyAlignment="1" applyProtection="1">
      <alignment horizontal="left" vertical="center" wrapText="1"/>
      <protection hidden="1"/>
    </xf>
    <xf numFmtId="2" fontId="11" fillId="0" borderId="15" xfId="0" applyNumberFormat="1" applyFont="1" applyBorder="1" applyAlignment="1" applyProtection="1">
      <alignment horizontal="center" vertical="center" wrapText="1"/>
      <protection hidden="1"/>
    </xf>
    <xf numFmtId="2" fontId="11" fillId="7" borderId="39" xfId="0" applyNumberFormat="1" applyFont="1" applyFill="1" applyBorder="1" applyAlignment="1">
      <alignment horizontal="center" vertical="center" wrapText="1"/>
    </xf>
    <xf numFmtId="2" fontId="11" fillId="8" borderId="2" xfId="0" applyNumberFormat="1" applyFont="1" applyFill="1" applyBorder="1" applyAlignment="1" applyProtection="1">
      <alignment horizontal="center" vertical="center"/>
      <protection locked="0"/>
    </xf>
    <xf numFmtId="2" fontId="11" fillId="3" borderId="1" xfId="0" applyNumberFormat="1" applyFont="1" applyFill="1" applyBorder="1" applyAlignment="1" applyProtection="1">
      <alignment horizontal="center" vertical="center"/>
      <protection locked="0"/>
    </xf>
    <xf numFmtId="2" fontId="11" fillId="8" borderId="1" xfId="0" applyNumberFormat="1" applyFont="1" applyFill="1" applyBorder="1" applyAlignment="1" applyProtection="1">
      <alignment horizontal="center" vertical="center"/>
      <protection locked="0"/>
    </xf>
    <xf numFmtId="0" fontId="1" fillId="3" borderId="17" xfId="0" applyFont="1" applyFill="1" applyBorder="1" applyAlignment="1">
      <alignment horizontal="left" wrapText="1"/>
    </xf>
    <xf numFmtId="0" fontId="1" fillId="3" borderId="17" xfId="0" applyFont="1" applyFill="1" applyBorder="1" applyAlignment="1">
      <alignment wrapText="1"/>
    </xf>
    <xf numFmtId="0" fontId="107" fillId="0" borderId="0" xfId="1" applyFont="1" applyBorder="1" applyAlignment="1" applyProtection="1">
      <alignment vertical="center"/>
    </xf>
    <xf numFmtId="0" fontId="108" fillId="0" borderId="0" xfId="0" applyFont="1" applyProtection="1">
      <protection hidden="1"/>
    </xf>
    <xf numFmtId="0" fontId="108" fillId="0" borderId="0" xfId="0" applyFont="1"/>
    <xf numFmtId="0" fontId="0" fillId="13" borderId="17" xfId="0" applyFill="1" applyBorder="1"/>
    <xf numFmtId="0" fontId="109" fillId="0" borderId="0" xfId="0" applyFont="1" applyProtection="1">
      <protection hidden="1"/>
    </xf>
    <xf numFmtId="0" fontId="39" fillId="0" borderId="0" xfId="0" applyFont="1" applyAlignment="1" applyProtection="1">
      <alignment vertical="center"/>
      <protection hidden="1"/>
    </xf>
    <xf numFmtId="0" fontId="40" fillId="0" borderId="0" xfId="0" applyFont="1" applyAlignment="1" applyProtection="1">
      <alignment vertical="center"/>
      <protection hidden="1"/>
    </xf>
    <xf numFmtId="0" fontId="110" fillId="0" borderId="0" xfId="0" applyFont="1" applyAlignment="1">
      <alignment vertical="center"/>
    </xf>
    <xf numFmtId="2" fontId="11" fillId="7" borderId="39" xfId="0" applyNumberFormat="1" applyFont="1" applyFill="1" applyBorder="1" applyAlignment="1" applyProtection="1">
      <alignment horizontal="center" vertical="center" wrapText="1"/>
      <protection hidden="1"/>
    </xf>
    <xf numFmtId="0" fontId="7" fillId="13" borderId="1" xfId="0" applyFont="1" applyFill="1" applyBorder="1" applyAlignment="1" applyProtection="1">
      <alignment horizontal="center" vertical="center" wrapText="1"/>
      <protection locked="0"/>
    </xf>
    <xf numFmtId="0" fontId="0" fillId="14" borderId="1" xfId="0" applyFill="1" applyBorder="1" applyAlignment="1" applyProtection="1">
      <alignment horizontal="center" vertical="center"/>
      <protection hidden="1"/>
    </xf>
    <xf numFmtId="0" fontId="11" fillId="0" borderId="16" xfId="0" applyFont="1" applyBorder="1" applyAlignment="1" applyProtection="1">
      <alignment horizontal="center" vertical="center"/>
      <protection hidden="1"/>
    </xf>
    <xf numFmtId="165" fontId="108" fillId="0" borderId="0" xfId="0" applyNumberFormat="1" applyFont="1" applyProtection="1">
      <protection hidden="1"/>
    </xf>
    <xf numFmtId="1" fontId="108" fillId="0" borderId="0" xfId="0" applyNumberFormat="1" applyFont="1" applyProtection="1">
      <protection hidden="1"/>
    </xf>
    <xf numFmtId="165" fontId="5" fillId="8" borderId="3" xfId="0" applyNumberFormat="1" applyFont="1" applyFill="1" applyBorder="1" applyAlignment="1" applyProtection="1">
      <alignment horizontal="center" vertical="center"/>
      <protection locked="0"/>
    </xf>
    <xf numFmtId="165" fontId="5" fillId="8" borderId="5" xfId="0" applyNumberFormat="1" applyFont="1" applyFill="1" applyBorder="1" applyAlignment="1" applyProtection="1">
      <alignment horizontal="center" vertical="center"/>
      <protection locked="0"/>
    </xf>
    <xf numFmtId="165" fontId="5" fillId="8" borderId="1" xfId="0" applyNumberFormat="1" applyFont="1" applyFill="1" applyBorder="1" applyAlignment="1" applyProtection="1">
      <alignment horizontal="center" vertical="center"/>
      <protection locked="0"/>
    </xf>
    <xf numFmtId="165" fontId="5" fillId="8" borderId="12" xfId="0" applyNumberFormat="1" applyFont="1" applyFill="1" applyBorder="1" applyAlignment="1" applyProtection="1">
      <alignment horizontal="center" vertical="center"/>
      <protection locked="0"/>
    </xf>
    <xf numFmtId="0" fontId="111" fillId="0" borderId="0" xfId="0" applyFont="1" applyAlignment="1" applyProtection="1">
      <alignment vertical="center"/>
      <protection hidden="1"/>
    </xf>
    <xf numFmtId="0" fontId="104" fillId="0" borderId="0" xfId="0" applyFont="1"/>
    <xf numFmtId="0" fontId="11" fillId="0" borderId="3" xfId="0" applyFont="1" applyBorder="1" applyAlignment="1">
      <alignment horizontal="right" vertical="center"/>
    </xf>
    <xf numFmtId="2" fontId="11" fillId="0" borderId="1" xfId="0" applyNumberFormat="1" applyFont="1" applyBorder="1" applyAlignment="1" applyProtection="1">
      <alignment horizontal="right" vertical="center"/>
      <protection hidden="1"/>
    </xf>
    <xf numFmtId="0" fontId="7" fillId="5" borderId="17" xfId="0" applyFont="1" applyFill="1" applyBorder="1" applyAlignment="1" applyProtection="1">
      <alignment horizontal="center" vertical="center" wrapText="1"/>
      <protection hidden="1"/>
    </xf>
    <xf numFmtId="0" fontId="7" fillId="0" borderId="40" xfId="0" applyFont="1" applyBorder="1" applyAlignment="1" applyProtection="1">
      <alignment horizontal="left" vertical="center"/>
      <protection hidden="1"/>
    </xf>
    <xf numFmtId="0" fontId="7" fillId="0" borderId="5" xfId="0" applyFont="1" applyBorder="1" applyAlignment="1" applyProtection="1">
      <alignment horizontal="left" vertical="center"/>
      <protection hidden="1"/>
    </xf>
    <xf numFmtId="2" fontId="7" fillId="0" borderId="41" xfId="0" applyNumberFormat="1" applyFont="1" applyBorder="1" applyAlignment="1" applyProtection="1">
      <alignment horizontal="left" vertical="center"/>
      <protection hidden="1"/>
    </xf>
    <xf numFmtId="165" fontId="7" fillId="4" borderId="42" xfId="0" applyNumberFormat="1" applyFont="1" applyFill="1" applyBorder="1" applyAlignment="1" applyProtection="1">
      <alignment horizontal="center" vertical="center"/>
      <protection hidden="1"/>
    </xf>
    <xf numFmtId="165" fontId="7" fillId="2" borderId="42" xfId="0" applyNumberFormat="1" applyFont="1" applyFill="1" applyBorder="1" applyAlignment="1" applyProtection="1">
      <alignment horizontal="center" vertical="center"/>
      <protection hidden="1"/>
    </xf>
    <xf numFmtId="2" fontId="7" fillId="7" borderId="43" xfId="0" applyNumberFormat="1" applyFont="1" applyFill="1" applyBorder="1" applyAlignment="1">
      <alignment horizontal="center" vertical="center" wrapText="1"/>
    </xf>
    <xf numFmtId="2" fontId="7" fillId="7" borderId="7" xfId="0" applyNumberFormat="1" applyFont="1" applyFill="1" applyBorder="1" applyAlignment="1">
      <alignment horizontal="center" vertical="center" wrapText="1"/>
    </xf>
    <xf numFmtId="165" fontId="7" fillId="0" borderId="42" xfId="0" applyNumberFormat="1" applyFont="1" applyBorder="1" applyAlignment="1" applyProtection="1">
      <alignment horizontal="center" vertical="center"/>
      <protection hidden="1"/>
    </xf>
    <xf numFmtId="2" fontId="7" fillId="0" borderId="44" xfId="0" applyNumberFormat="1" applyFont="1" applyBorder="1" applyAlignment="1" applyProtection="1">
      <alignment horizontal="left" vertical="center"/>
      <protection hidden="1"/>
    </xf>
    <xf numFmtId="2" fontId="11" fillId="8" borderId="45" xfId="0" applyNumberFormat="1" applyFont="1" applyFill="1" applyBorder="1" applyAlignment="1" applyProtection="1">
      <alignment horizontal="center" vertical="center"/>
      <protection locked="0"/>
    </xf>
    <xf numFmtId="165" fontId="7" fillId="4" borderId="10" xfId="0" applyNumberFormat="1" applyFont="1" applyFill="1" applyBorder="1" applyAlignment="1" applyProtection="1">
      <alignment horizontal="center" vertical="center"/>
      <protection hidden="1"/>
    </xf>
    <xf numFmtId="165" fontId="7" fillId="13" borderId="9" xfId="0" applyNumberFormat="1" applyFont="1" applyFill="1" applyBorder="1" applyAlignment="1" applyProtection="1">
      <alignment horizontal="center" vertical="center"/>
      <protection locked="0"/>
    </xf>
    <xf numFmtId="2" fontId="11" fillId="13" borderId="4" xfId="0" applyNumberFormat="1" applyFont="1" applyFill="1" applyBorder="1" applyAlignment="1" applyProtection="1">
      <alignment horizontal="center" vertical="center"/>
      <protection locked="0"/>
    </xf>
    <xf numFmtId="165" fontId="7" fillId="4" borderId="4" xfId="0" applyNumberFormat="1" applyFont="1" applyFill="1" applyBorder="1" applyAlignment="1" applyProtection="1">
      <alignment horizontal="center" vertical="center"/>
      <protection hidden="1"/>
    </xf>
    <xf numFmtId="165" fontId="7" fillId="13" borderId="4" xfId="0" applyNumberFormat="1" applyFont="1" applyFill="1" applyBorder="1" applyAlignment="1" applyProtection="1">
      <alignment horizontal="center" vertical="center"/>
      <protection locked="0"/>
    </xf>
    <xf numFmtId="165" fontId="11" fillId="2" borderId="4" xfId="0" applyNumberFormat="1" applyFont="1" applyFill="1" applyBorder="1" applyAlignment="1" applyProtection="1">
      <alignment horizontal="center" vertical="center"/>
      <protection hidden="1"/>
    </xf>
    <xf numFmtId="165" fontId="7" fillId="0" borderId="9" xfId="0" applyNumberFormat="1" applyFont="1" applyBorder="1" applyAlignment="1" applyProtection="1">
      <alignment horizontal="center" vertical="center"/>
      <protection hidden="1"/>
    </xf>
    <xf numFmtId="0" fontId="7" fillId="7" borderId="46" xfId="0" applyFont="1" applyFill="1" applyBorder="1" applyAlignment="1">
      <alignment horizontal="center" vertical="center" wrapText="1"/>
    </xf>
    <xf numFmtId="0" fontId="104" fillId="0" borderId="0" xfId="0" applyFont="1" applyAlignment="1">
      <alignment vertical="center"/>
    </xf>
    <xf numFmtId="2" fontId="7" fillId="0" borderId="0" xfId="0" applyNumberFormat="1" applyFont="1" applyAlignment="1">
      <alignment horizontal="left" vertical="center"/>
    </xf>
    <xf numFmtId="0" fontId="38" fillId="0" borderId="10" xfId="0" applyFont="1" applyBorder="1" applyAlignment="1" applyProtection="1">
      <alignment horizontal="left" wrapText="1"/>
      <protection hidden="1"/>
    </xf>
    <xf numFmtId="0" fontId="38" fillId="0" borderId="47" xfId="0" applyFont="1" applyBorder="1" applyAlignment="1" applyProtection="1">
      <alignment horizontal="left"/>
      <protection hidden="1"/>
    </xf>
    <xf numFmtId="2" fontId="11" fillId="0" borderId="9" xfId="0" applyNumberFormat="1" applyFont="1" applyBorder="1" applyAlignment="1" applyProtection="1">
      <alignment horizontal="center" vertical="center"/>
      <protection hidden="1"/>
    </xf>
    <xf numFmtId="0" fontId="5" fillId="7" borderId="43" xfId="0" applyFont="1" applyFill="1" applyBorder="1" applyAlignment="1" applyProtection="1">
      <alignment horizontal="left" vertical="center" wrapText="1"/>
      <protection hidden="1"/>
    </xf>
    <xf numFmtId="0" fontId="5" fillId="7" borderId="7" xfId="0" applyFont="1" applyFill="1" applyBorder="1" applyAlignment="1" applyProtection="1">
      <alignment horizontal="left" vertical="center" wrapText="1"/>
      <protection hidden="1"/>
    </xf>
    <xf numFmtId="2" fontId="7" fillId="7" borderId="7" xfId="0" applyNumberFormat="1" applyFont="1" applyFill="1" applyBorder="1" applyAlignment="1" applyProtection="1">
      <alignment horizontal="center" vertical="center" wrapText="1"/>
      <protection hidden="1"/>
    </xf>
    <xf numFmtId="2" fontId="11" fillId="0" borderId="42" xfId="0" applyNumberFormat="1" applyFont="1" applyBorder="1" applyAlignment="1" applyProtection="1">
      <alignment horizontal="center" vertical="center"/>
      <protection hidden="1"/>
    </xf>
    <xf numFmtId="2" fontId="7" fillId="7" borderId="48" xfId="0" applyNumberFormat="1" applyFont="1" applyFill="1" applyBorder="1" applyAlignment="1" applyProtection="1">
      <alignment horizontal="center" vertical="center" wrapText="1"/>
      <protection hidden="1"/>
    </xf>
    <xf numFmtId="0" fontId="38" fillId="0" borderId="1" xfId="0" applyFont="1" applyBorder="1" applyAlignment="1" applyProtection="1">
      <alignment vertical="center"/>
      <protection hidden="1"/>
    </xf>
    <xf numFmtId="165" fontId="7" fillId="0" borderId="17" xfId="0" applyNumberFormat="1" applyFont="1" applyBorder="1" applyAlignment="1" applyProtection="1">
      <alignment horizontal="center" vertical="center"/>
      <protection hidden="1"/>
    </xf>
    <xf numFmtId="165" fontId="7" fillId="0" borderId="49" xfId="0" applyNumberFormat="1" applyFont="1" applyBorder="1" applyAlignment="1" applyProtection="1">
      <alignment horizontal="center" vertical="center"/>
      <protection hidden="1"/>
    </xf>
    <xf numFmtId="165" fontId="7" fillId="0" borderId="50" xfId="0" applyNumberFormat="1" applyFont="1" applyBorder="1" applyAlignment="1" applyProtection="1">
      <alignment horizontal="center" vertical="center"/>
      <protection hidden="1"/>
    </xf>
    <xf numFmtId="0" fontId="105" fillId="0" borderId="0" xfId="0" applyFont="1" applyAlignment="1" applyProtection="1">
      <alignment horizontal="left" vertical="center"/>
      <protection hidden="1"/>
    </xf>
    <xf numFmtId="165" fontId="7" fillId="2" borderId="31" xfId="0" applyNumberFormat="1" applyFont="1" applyFill="1" applyBorder="1" applyAlignment="1" applyProtection="1">
      <alignment horizontal="center" vertical="center"/>
      <protection hidden="1"/>
    </xf>
    <xf numFmtId="0" fontId="7" fillId="0" borderId="0" xfId="0" applyFont="1" applyAlignment="1" applyProtection="1">
      <alignment horizontal="left" vertical="center"/>
      <protection hidden="1"/>
    </xf>
    <xf numFmtId="0" fontId="7" fillId="0" borderId="5" xfId="0" applyFont="1" applyBorder="1" applyAlignment="1" applyProtection="1">
      <alignment vertical="center"/>
      <protection hidden="1"/>
    </xf>
    <xf numFmtId="0" fontId="11" fillId="8" borderId="4" xfId="0" applyFont="1" applyFill="1" applyBorder="1" applyAlignment="1" applyProtection="1">
      <alignment horizontal="center" vertical="center"/>
      <protection locked="0"/>
    </xf>
    <xf numFmtId="0" fontId="27" fillId="0" borderId="8" xfId="0" applyFont="1" applyBorder="1" applyAlignment="1" applyProtection="1">
      <alignment vertical="center"/>
      <protection hidden="1"/>
    </xf>
    <xf numFmtId="165" fontId="7" fillId="10" borderId="1" xfId="0" applyNumberFormat="1" applyFont="1" applyFill="1" applyBorder="1" applyAlignment="1" applyProtection="1">
      <alignment horizontal="center" vertical="center"/>
      <protection hidden="1"/>
    </xf>
    <xf numFmtId="165" fontId="7" fillId="6" borderId="1" xfId="0" applyNumberFormat="1" applyFont="1" applyFill="1" applyBorder="1" applyAlignment="1" applyProtection="1">
      <alignment horizontal="center" vertical="center"/>
      <protection hidden="1"/>
    </xf>
    <xf numFmtId="1" fontId="11" fillId="0" borderId="0" xfId="0" applyNumberFormat="1" applyFont="1" applyAlignment="1">
      <alignment horizontal="center" vertical="center"/>
    </xf>
    <xf numFmtId="0" fontId="110" fillId="0" borderId="17" xfId="0" applyFont="1" applyBorder="1" applyAlignment="1">
      <alignment vertical="center"/>
    </xf>
    <xf numFmtId="1" fontId="11" fillId="10" borderId="4" xfId="0" applyNumberFormat="1" applyFont="1" applyFill="1" applyBorder="1" applyAlignment="1" applyProtection="1">
      <alignment horizontal="center" vertical="center"/>
      <protection hidden="1"/>
    </xf>
    <xf numFmtId="165" fontId="11" fillId="8" borderId="1" xfId="0" applyNumberFormat="1" applyFont="1" applyFill="1" applyBorder="1" applyAlignment="1" applyProtection="1">
      <alignment horizontal="center" vertical="center"/>
      <protection locked="0"/>
    </xf>
    <xf numFmtId="165" fontId="11" fillId="10" borderId="4" xfId="0" applyNumberFormat="1" applyFont="1" applyFill="1" applyBorder="1" applyAlignment="1" applyProtection="1">
      <alignment horizontal="center" vertical="center"/>
      <protection hidden="1"/>
    </xf>
    <xf numFmtId="0" fontId="11" fillId="8" borderId="1" xfId="0" applyFont="1" applyFill="1" applyBorder="1" applyAlignment="1" applyProtection="1">
      <alignment horizontal="center" vertical="center"/>
      <protection locked="0"/>
    </xf>
    <xf numFmtId="1" fontId="11" fillId="2" borderId="1" xfId="0" applyNumberFormat="1" applyFont="1" applyFill="1" applyBorder="1" applyAlignment="1" applyProtection="1">
      <alignment horizontal="center" vertical="center"/>
      <protection hidden="1"/>
    </xf>
    <xf numFmtId="1" fontId="11" fillId="8" borderId="1" xfId="0" applyNumberFormat="1" applyFont="1" applyFill="1" applyBorder="1" applyAlignment="1" applyProtection="1">
      <alignment horizontal="center" vertical="center"/>
      <protection locked="0"/>
    </xf>
    <xf numFmtId="1" fontId="5" fillId="0" borderId="51" xfId="0" applyNumberFormat="1" applyFont="1" applyBorder="1" applyAlignment="1" applyProtection="1">
      <alignment horizontal="center" vertical="center"/>
      <protection hidden="1"/>
    </xf>
    <xf numFmtId="0" fontId="5" fillId="0" borderId="13" xfId="0" applyFont="1" applyBorder="1" applyAlignment="1" applyProtection="1">
      <alignment horizontal="center" vertical="center" wrapText="1"/>
      <protection hidden="1"/>
    </xf>
    <xf numFmtId="0" fontId="7" fillId="0" borderId="0" xfId="0" applyFont="1" applyAlignment="1" applyProtection="1">
      <alignment wrapText="1"/>
      <protection hidden="1"/>
    </xf>
    <xf numFmtId="165" fontId="7" fillId="0" borderId="0" xfId="0" applyNumberFormat="1" applyFont="1" applyAlignment="1" applyProtection="1">
      <alignment vertical="center"/>
      <protection hidden="1"/>
    </xf>
    <xf numFmtId="0" fontId="1" fillId="7" borderId="52" xfId="0" applyFont="1" applyFill="1" applyBorder="1" applyAlignment="1">
      <alignment horizontal="left" wrapText="1"/>
    </xf>
    <xf numFmtId="0" fontId="1" fillId="7" borderId="53" xfId="0" applyFont="1" applyFill="1" applyBorder="1" applyAlignment="1">
      <alignment horizontal="left" wrapText="1"/>
    </xf>
    <xf numFmtId="165" fontId="1" fillId="0" borderId="0" xfId="0" applyNumberFormat="1" applyFont="1" applyAlignment="1">
      <alignment horizontal="center" vertical="center"/>
    </xf>
    <xf numFmtId="2" fontId="11" fillId="7" borderId="54" xfId="0" applyNumberFormat="1" applyFont="1" applyFill="1" applyBorder="1" applyAlignment="1">
      <alignment horizontal="center" wrapText="1"/>
    </xf>
    <xf numFmtId="2" fontId="11" fillId="7" borderId="7" xfId="0" applyNumberFormat="1" applyFont="1" applyFill="1" applyBorder="1" applyAlignment="1">
      <alignment horizontal="center" wrapText="1"/>
    </xf>
    <xf numFmtId="0" fontId="7" fillId="7" borderId="7" xfId="0" applyFont="1" applyFill="1" applyBorder="1" applyAlignment="1">
      <alignment wrapText="1"/>
    </xf>
    <xf numFmtId="1" fontId="112" fillId="2" borderId="37" xfId="0" applyNumberFormat="1" applyFont="1" applyFill="1" applyBorder="1" applyAlignment="1">
      <alignment horizontal="center" vertical="center" wrapText="1"/>
    </xf>
    <xf numFmtId="2" fontId="27" fillId="0" borderId="38" xfId="0" applyNumberFormat="1" applyFont="1" applyBorder="1" applyAlignment="1" applyProtection="1">
      <alignment vertical="center"/>
      <protection hidden="1"/>
    </xf>
    <xf numFmtId="2" fontId="27" fillId="0" borderId="29" xfId="0" applyNumberFormat="1" applyFont="1" applyBorder="1" applyAlignment="1" applyProtection="1">
      <alignment horizontal="center" vertical="center"/>
      <protection hidden="1"/>
    </xf>
    <xf numFmtId="2" fontId="27" fillId="0" borderId="30" xfId="0" applyNumberFormat="1" applyFont="1" applyBorder="1" applyAlignment="1" applyProtection="1">
      <alignment horizontal="left" vertical="center"/>
      <protection hidden="1"/>
    </xf>
    <xf numFmtId="0" fontId="0" fillId="10" borderId="55" xfId="0" applyFill="1" applyBorder="1"/>
    <xf numFmtId="165" fontId="5" fillId="2" borderId="30" xfId="0" applyNumberFormat="1" applyFont="1" applyFill="1" applyBorder="1" applyAlignment="1">
      <alignment vertical="center"/>
    </xf>
    <xf numFmtId="2" fontId="27" fillId="0" borderId="56" xfId="0" applyNumberFormat="1" applyFont="1" applyBorder="1" applyAlignment="1" applyProtection="1">
      <alignment vertical="center"/>
      <protection hidden="1"/>
    </xf>
    <xf numFmtId="2" fontId="27" fillId="0" borderId="7" xfId="0" applyNumberFormat="1" applyFont="1" applyBorder="1" applyAlignment="1" applyProtection="1">
      <alignment horizontal="center" vertical="center"/>
      <protection hidden="1"/>
    </xf>
    <xf numFmtId="2" fontId="27" fillId="0" borderId="8" xfId="0" applyNumberFormat="1" applyFont="1" applyBorder="1" applyAlignment="1" applyProtection="1">
      <alignment horizontal="left" vertical="center"/>
      <protection hidden="1"/>
    </xf>
    <xf numFmtId="0" fontId="0" fillId="10" borderId="7" xfId="0" applyFill="1" applyBorder="1"/>
    <xf numFmtId="165" fontId="5" fillId="2" borderId="8" xfId="0" applyNumberFormat="1" applyFont="1" applyFill="1" applyBorder="1" applyAlignment="1">
      <alignment vertical="center"/>
    </xf>
    <xf numFmtId="0" fontId="0" fillId="10" borderId="3" xfId="0" applyFill="1" applyBorder="1"/>
    <xf numFmtId="165" fontId="5" fillId="2" borderId="48" xfId="0" applyNumberFormat="1" applyFont="1" applyFill="1" applyBorder="1" applyAlignment="1">
      <alignment vertical="center"/>
    </xf>
    <xf numFmtId="2" fontId="27" fillId="0" borderId="57" xfId="0" applyNumberFormat="1" applyFont="1" applyBorder="1" applyAlignment="1" applyProtection="1">
      <alignment vertical="center"/>
      <protection hidden="1"/>
    </xf>
    <xf numFmtId="2" fontId="27" fillId="0" borderId="58" xfId="0" applyNumberFormat="1" applyFont="1" applyBorder="1" applyAlignment="1" applyProtection="1">
      <alignment horizontal="center" vertical="center"/>
      <protection hidden="1"/>
    </xf>
    <xf numFmtId="2" fontId="27" fillId="0" borderId="59" xfId="0" applyNumberFormat="1" applyFont="1" applyBorder="1" applyAlignment="1" applyProtection="1">
      <alignment horizontal="left" vertical="center"/>
      <protection hidden="1"/>
    </xf>
    <xf numFmtId="0" fontId="0" fillId="10" borderId="60" xfId="0" applyFill="1" applyBorder="1"/>
    <xf numFmtId="165" fontId="5" fillId="2" borderId="61" xfId="0" applyNumberFormat="1" applyFont="1" applyFill="1" applyBorder="1" applyAlignment="1">
      <alignment vertical="center"/>
    </xf>
    <xf numFmtId="2" fontId="11" fillId="0" borderId="0" xfId="0" applyNumberFormat="1" applyFont="1" applyAlignment="1" applyProtection="1">
      <alignment vertical="center"/>
      <protection hidden="1"/>
    </xf>
    <xf numFmtId="165" fontId="1" fillId="0" borderId="0" xfId="0" applyNumberFormat="1" applyFont="1" applyAlignment="1">
      <alignment horizontal="left" vertical="center"/>
    </xf>
    <xf numFmtId="2" fontId="0" fillId="0" borderId="0" xfId="0" applyNumberFormat="1" applyAlignment="1" applyProtection="1">
      <alignment vertical="center"/>
      <protection hidden="1"/>
    </xf>
    <xf numFmtId="0" fontId="5" fillId="12" borderId="0" xfId="0" applyFont="1" applyFill="1" applyAlignment="1">
      <alignment horizontal="left" wrapText="1"/>
    </xf>
    <xf numFmtId="0" fontId="0" fillId="12" borderId="0" xfId="0" applyFill="1"/>
    <xf numFmtId="0" fontId="5" fillId="3" borderId="17" xfId="0" applyFont="1" applyFill="1" applyBorder="1" applyAlignment="1">
      <alignment horizontal="left" wrapText="1"/>
    </xf>
    <xf numFmtId="0" fontId="113" fillId="0" borderId="0" xfId="0" applyFont="1"/>
    <xf numFmtId="0" fontId="7" fillId="0" borderId="0" xfId="0" applyFont="1" applyAlignment="1" applyProtection="1">
      <alignment horizontal="left" vertical="top" wrapText="1"/>
      <protection hidden="1"/>
    </xf>
    <xf numFmtId="0" fontId="1" fillId="0" borderId="1" xfId="0" applyFont="1" applyBorder="1" applyAlignment="1" applyProtection="1">
      <alignment horizontal="left" vertical="center"/>
      <protection hidden="1"/>
    </xf>
    <xf numFmtId="0" fontId="7" fillId="0" borderId="62" xfId="0" applyFont="1" applyBorder="1" applyAlignment="1" applyProtection="1">
      <alignment horizontal="left" vertical="center"/>
      <protection hidden="1"/>
    </xf>
    <xf numFmtId="165" fontId="7" fillId="0" borderId="1" xfId="0" applyNumberFormat="1" applyFont="1" applyBorder="1" applyAlignment="1" applyProtection="1">
      <alignment horizontal="center" vertical="center"/>
      <protection hidden="1"/>
    </xf>
    <xf numFmtId="165" fontId="11" fillId="13" borderId="39" xfId="0" applyNumberFormat="1" applyFont="1" applyFill="1" applyBorder="1" applyAlignment="1" applyProtection="1">
      <alignment horizontal="center" vertical="center"/>
      <protection locked="0"/>
    </xf>
    <xf numFmtId="164" fontId="11" fillId="13" borderId="1" xfId="0" applyNumberFormat="1" applyFont="1" applyFill="1" applyBorder="1" applyAlignment="1" applyProtection="1">
      <alignment horizontal="center" vertical="center"/>
      <protection locked="0"/>
    </xf>
    <xf numFmtId="165" fontId="11" fillId="10" borderId="1" xfId="0" applyNumberFormat="1" applyFont="1" applyFill="1" applyBorder="1" applyAlignment="1" applyProtection="1">
      <alignment horizontal="center" vertical="center"/>
      <protection hidden="1"/>
    </xf>
    <xf numFmtId="2" fontId="11" fillId="8" borderId="4" xfId="0" applyNumberFormat="1" applyFont="1" applyFill="1" applyBorder="1" applyAlignment="1" applyProtection="1">
      <alignment horizontal="center" vertical="center"/>
      <protection locked="0"/>
    </xf>
    <xf numFmtId="165" fontId="7" fillId="0" borderId="3" xfId="0" applyNumberFormat="1" applyFont="1" applyBorder="1" applyAlignment="1" applyProtection="1">
      <alignment horizontal="center" vertical="center"/>
      <protection hidden="1"/>
    </xf>
    <xf numFmtId="0" fontId="7" fillId="0" borderId="0" xfId="0" applyFont="1" applyAlignment="1" applyProtection="1">
      <alignment vertical="center" wrapText="1"/>
      <protection hidden="1"/>
    </xf>
    <xf numFmtId="2" fontId="11" fillId="0" borderId="14" xfId="0" applyNumberFormat="1" applyFont="1" applyBorder="1" applyAlignment="1" applyProtection="1">
      <alignment horizontal="center" wrapText="1"/>
      <protection hidden="1"/>
    </xf>
    <xf numFmtId="165" fontId="7" fillId="2" borderId="36" xfId="0" applyNumberFormat="1" applyFont="1" applyFill="1" applyBorder="1" applyAlignment="1" applyProtection="1">
      <alignment horizontal="center" vertical="center"/>
      <protection hidden="1"/>
    </xf>
    <xf numFmtId="1" fontId="1" fillId="0" borderId="0" xfId="0" applyNumberFormat="1" applyFont="1" applyAlignment="1" applyProtection="1">
      <alignment vertical="center"/>
      <protection hidden="1"/>
    </xf>
    <xf numFmtId="2" fontId="1" fillId="0" borderId="0" xfId="0" applyNumberFormat="1" applyFont="1" applyAlignment="1" applyProtection="1">
      <alignment horizontal="left" vertical="center"/>
      <protection hidden="1"/>
    </xf>
    <xf numFmtId="1" fontId="1" fillId="0" borderId="0" xfId="0" applyNumberFormat="1" applyFont="1" applyAlignment="1" applyProtection="1">
      <alignment horizontal="right" vertical="center"/>
      <protection hidden="1"/>
    </xf>
    <xf numFmtId="1" fontId="103" fillId="0" borderId="0" xfId="0" applyNumberFormat="1" applyFont="1" applyAlignment="1" applyProtection="1">
      <alignment horizontal="center" vertical="center"/>
      <protection hidden="1"/>
    </xf>
    <xf numFmtId="2" fontId="103" fillId="0" borderId="0" xfId="0" applyNumberFormat="1" applyFont="1" applyAlignment="1" applyProtection="1">
      <alignment horizontal="right"/>
      <protection hidden="1"/>
    </xf>
    <xf numFmtId="2" fontId="103" fillId="0" borderId="0" xfId="0" applyNumberFormat="1" applyFont="1" applyAlignment="1" applyProtection="1">
      <alignment horizontal="left"/>
      <protection hidden="1"/>
    </xf>
    <xf numFmtId="165" fontId="5" fillId="12" borderId="0" xfId="0" applyNumberFormat="1" applyFont="1" applyFill="1" applyAlignment="1" applyProtection="1">
      <alignment horizontal="center" vertical="center" wrapText="1"/>
      <protection hidden="1"/>
    </xf>
    <xf numFmtId="1" fontId="103" fillId="0" borderId="0" xfId="0" applyNumberFormat="1" applyFont="1" applyAlignment="1" applyProtection="1">
      <alignment horizontal="right"/>
      <protection hidden="1"/>
    </xf>
    <xf numFmtId="0" fontId="114" fillId="0" borderId="0" xfId="0" applyFont="1" applyAlignment="1">
      <alignment wrapText="1"/>
    </xf>
    <xf numFmtId="0" fontId="11" fillId="0" borderId="0" xfId="0" applyFont="1" applyProtection="1">
      <protection hidden="1"/>
    </xf>
    <xf numFmtId="1" fontId="104" fillId="0" borderId="0" xfId="0" applyNumberFormat="1" applyFont="1" applyAlignment="1" applyProtection="1">
      <alignment horizontal="center" vertical="center"/>
      <protection hidden="1"/>
    </xf>
    <xf numFmtId="0" fontId="104" fillId="0" borderId="0" xfId="0" applyFont="1" applyAlignment="1" applyProtection="1">
      <alignment horizontal="right"/>
      <protection hidden="1"/>
    </xf>
    <xf numFmtId="167" fontId="104" fillId="0" borderId="0" xfId="0" applyNumberFormat="1" applyFont="1" applyProtection="1">
      <protection hidden="1"/>
    </xf>
    <xf numFmtId="0" fontId="2" fillId="15" borderId="63" xfId="0" applyFont="1" applyFill="1" applyBorder="1" applyAlignment="1">
      <alignment horizontal="right" vertical="center"/>
    </xf>
    <xf numFmtId="0" fontId="115" fillId="0" borderId="0" xfId="0" quotePrefix="1" applyFont="1" applyAlignment="1" applyProtection="1">
      <alignment vertical="center"/>
      <protection hidden="1"/>
    </xf>
    <xf numFmtId="0" fontId="104" fillId="0" borderId="0" xfId="0" applyFont="1" applyAlignment="1" applyProtection="1">
      <alignment wrapText="1"/>
      <protection hidden="1"/>
    </xf>
    <xf numFmtId="2" fontId="104" fillId="0" borderId="0" xfId="0" applyNumberFormat="1" applyFont="1" applyAlignment="1">
      <alignment vertical="center"/>
    </xf>
    <xf numFmtId="165" fontId="105" fillId="0" borderId="0" xfId="0" applyNumberFormat="1" applyFont="1" applyAlignment="1">
      <alignment horizontal="center" vertical="center"/>
    </xf>
    <xf numFmtId="0" fontId="103" fillId="0" borderId="0" xfId="0" applyFont="1" applyAlignment="1" applyProtection="1">
      <alignment horizontal="right"/>
      <protection hidden="1"/>
    </xf>
    <xf numFmtId="0" fontId="5" fillId="0" borderId="0" xfId="0" applyFont="1" applyAlignment="1" applyProtection="1">
      <alignment horizontal="center" vertical="center" wrapText="1"/>
      <protection hidden="1"/>
    </xf>
    <xf numFmtId="165" fontId="5" fillId="0" borderId="13" xfId="0" applyNumberFormat="1" applyFont="1" applyBorder="1" applyAlignment="1" applyProtection="1">
      <alignment horizontal="center" vertical="center"/>
      <protection locked="0"/>
    </xf>
    <xf numFmtId="165" fontId="0" fillId="0" borderId="13" xfId="0" applyNumberFormat="1" applyBorder="1" applyAlignment="1" applyProtection="1">
      <alignment horizontal="center" vertical="center"/>
      <protection hidden="1"/>
    </xf>
    <xf numFmtId="166" fontId="103" fillId="0" borderId="0" xfId="0" applyNumberFormat="1" applyFont="1" applyProtection="1">
      <protection hidden="1"/>
    </xf>
    <xf numFmtId="0" fontId="11" fillId="8" borderId="9" xfId="0" applyFont="1" applyFill="1" applyBorder="1" applyAlignment="1" applyProtection="1">
      <alignment horizontal="center" vertical="center"/>
      <protection locked="0"/>
    </xf>
    <xf numFmtId="0" fontId="116" fillId="0" borderId="0" xfId="1" applyFont="1" applyBorder="1" applyAlignment="1" applyProtection="1">
      <alignment horizontal="left" vertical="center"/>
    </xf>
    <xf numFmtId="0" fontId="19" fillId="9" borderId="3" xfId="0" applyFont="1" applyFill="1" applyBorder="1" applyAlignment="1">
      <alignment horizontal="left" vertical="center"/>
    </xf>
    <xf numFmtId="0" fontId="2" fillId="0" borderId="1" xfId="0" applyFont="1" applyBorder="1" applyAlignment="1">
      <alignment horizontal="right" vertical="center"/>
    </xf>
    <xf numFmtId="165" fontId="5" fillId="12" borderId="0" xfId="0" applyNumberFormat="1" applyFont="1" applyFill="1" applyAlignment="1" applyProtection="1">
      <alignment horizontal="right" vertical="center"/>
      <protection hidden="1"/>
    </xf>
    <xf numFmtId="0" fontId="1" fillId="16" borderId="1" xfId="0" applyFont="1" applyFill="1" applyBorder="1" applyAlignment="1" applyProtection="1">
      <alignment horizontal="center" vertical="center"/>
      <protection hidden="1"/>
    </xf>
    <xf numFmtId="0" fontId="11" fillId="17" borderId="1" xfId="0" applyFont="1" applyFill="1" applyBorder="1" applyAlignment="1" applyProtection="1">
      <alignment horizontal="center" vertical="center"/>
      <protection locked="0" hidden="1"/>
    </xf>
    <xf numFmtId="0" fontId="11" fillId="17" borderId="1" xfId="0" applyFont="1" applyFill="1" applyBorder="1" applyAlignment="1" applyProtection="1">
      <alignment horizontal="center" vertical="center"/>
      <protection locked="0"/>
    </xf>
    <xf numFmtId="0" fontId="44" fillId="0" borderId="13" xfId="0" applyFont="1" applyBorder="1" applyAlignment="1" applyProtection="1">
      <alignment horizontal="left" vertical="center"/>
      <protection hidden="1"/>
    </xf>
    <xf numFmtId="0" fontId="44" fillId="0" borderId="13" xfId="0" applyFont="1" applyBorder="1" applyAlignment="1">
      <alignment horizontal="left" vertical="center"/>
    </xf>
    <xf numFmtId="0" fontId="75" fillId="0" borderId="0" xfId="0" applyFont="1" applyAlignment="1" applyProtection="1">
      <alignment horizontal="left" vertical="center"/>
      <protection hidden="1"/>
    </xf>
    <xf numFmtId="0" fontId="44" fillId="0" borderId="0" xfId="0" applyFont="1" applyAlignment="1" applyProtection="1">
      <alignment horizontal="left"/>
      <protection hidden="1"/>
    </xf>
    <xf numFmtId="165" fontId="1" fillId="2" borderId="58" xfId="0" applyNumberFormat="1" applyFont="1" applyFill="1" applyBorder="1" applyAlignment="1">
      <alignment horizontal="center" vertical="center"/>
    </xf>
    <xf numFmtId="1" fontId="7" fillId="10" borderId="1" xfId="0" applyNumberFormat="1" applyFont="1" applyFill="1" applyBorder="1" applyAlignment="1" applyProtection="1">
      <alignment horizontal="center" vertical="center"/>
      <protection hidden="1"/>
    </xf>
    <xf numFmtId="1" fontId="7" fillId="2" borderId="9" xfId="0" applyNumberFormat="1" applyFont="1" applyFill="1" applyBorder="1" applyAlignment="1" applyProtection="1">
      <alignment horizontal="center" vertical="center"/>
      <protection hidden="1"/>
    </xf>
    <xf numFmtId="1" fontId="7" fillId="10" borderId="4" xfId="0" applyNumberFormat="1" applyFont="1" applyFill="1" applyBorder="1" applyAlignment="1" applyProtection="1">
      <alignment horizontal="center" vertical="center"/>
      <protection hidden="1"/>
    </xf>
    <xf numFmtId="1" fontId="11" fillId="6" borderId="1" xfId="0" applyNumberFormat="1" applyFont="1" applyFill="1" applyBorder="1" applyAlignment="1" applyProtection="1">
      <alignment horizontal="center" vertical="center"/>
      <protection hidden="1"/>
    </xf>
    <xf numFmtId="1" fontId="7" fillId="10" borderId="9" xfId="0" applyNumberFormat="1" applyFont="1" applyFill="1" applyBorder="1" applyAlignment="1" applyProtection="1">
      <alignment horizontal="center" vertical="center"/>
      <protection hidden="1"/>
    </xf>
    <xf numFmtId="165" fontId="1" fillId="2" borderId="3" xfId="0" applyNumberFormat="1" applyFont="1" applyFill="1" applyBorder="1" applyAlignment="1">
      <alignment vertical="center"/>
    </xf>
    <xf numFmtId="165" fontId="1" fillId="2" borderId="7" xfId="0" applyNumberFormat="1" applyFont="1" applyFill="1" applyBorder="1" applyAlignment="1">
      <alignment horizontal="center" vertical="center"/>
    </xf>
    <xf numFmtId="165" fontId="1" fillId="2" borderId="8" xfId="0" applyNumberFormat="1" applyFont="1" applyFill="1" applyBorder="1" applyAlignment="1">
      <alignment vertical="center"/>
    </xf>
    <xf numFmtId="165" fontId="1" fillId="2" borderId="48" xfId="0" applyNumberFormat="1" applyFont="1" applyFill="1" applyBorder="1" applyAlignment="1">
      <alignment vertical="center"/>
    </xf>
    <xf numFmtId="165" fontId="1" fillId="2" borderId="29" xfId="0" applyNumberFormat="1" applyFont="1" applyFill="1" applyBorder="1" applyAlignment="1">
      <alignment horizontal="center" vertical="center"/>
    </xf>
    <xf numFmtId="165" fontId="5" fillId="12" borderId="0" xfId="0" applyNumberFormat="1" applyFont="1" applyFill="1" applyAlignment="1" applyProtection="1">
      <alignment horizontal="center" vertical="center"/>
      <protection hidden="1"/>
    </xf>
    <xf numFmtId="165" fontId="0" fillId="12" borderId="0" xfId="0" applyNumberFormat="1" applyFill="1" applyProtection="1">
      <protection hidden="1"/>
    </xf>
    <xf numFmtId="165" fontId="5" fillId="8" borderId="62" xfId="0" applyNumberFormat="1" applyFont="1" applyFill="1" applyBorder="1" applyAlignment="1" applyProtection="1">
      <alignment horizontal="center" vertical="center"/>
      <protection locked="0"/>
    </xf>
    <xf numFmtId="0" fontId="0" fillId="14" borderId="4" xfId="0" applyFill="1" applyBorder="1" applyAlignment="1" applyProtection="1">
      <alignment horizontal="center" vertical="center"/>
      <protection hidden="1"/>
    </xf>
    <xf numFmtId="165" fontId="5" fillId="8" borderId="64" xfId="0" applyNumberFormat="1" applyFont="1" applyFill="1" applyBorder="1" applyAlignment="1" applyProtection="1">
      <alignment horizontal="center" vertical="center"/>
      <protection locked="0"/>
    </xf>
    <xf numFmtId="0" fontId="0" fillId="0" borderId="15" xfId="0" applyBorder="1" applyAlignment="1" applyProtection="1">
      <alignment horizontal="center" vertical="center"/>
      <protection hidden="1"/>
    </xf>
    <xf numFmtId="2" fontId="1" fillId="18" borderId="31" xfId="0" applyNumberFormat="1" applyFont="1" applyFill="1" applyBorder="1" applyAlignment="1">
      <alignment horizontal="center" vertical="center" wrapText="1"/>
    </xf>
    <xf numFmtId="0" fontId="38" fillId="0" borderId="0" xfId="0" applyFont="1" applyProtection="1">
      <protection hidden="1"/>
    </xf>
    <xf numFmtId="2" fontId="1" fillId="8" borderId="36" xfId="0" applyNumberFormat="1" applyFont="1" applyFill="1" applyBorder="1" applyAlignment="1" applyProtection="1">
      <alignment horizontal="center" vertical="center"/>
      <protection locked="0"/>
    </xf>
    <xf numFmtId="2" fontId="1" fillId="2" borderId="37" xfId="0" applyNumberFormat="1" applyFont="1" applyFill="1" applyBorder="1" applyAlignment="1">
      <alignment horizontal="center" vertical="center" wrapText="1"/>
    </xf>
    <xf numFmtId="2" fontId="1" fillId="2" borderId="37" xfId="0" applyNumberFormat="1" applyFont="1" applyFill="1" applyBorder="1" applyAlignment="1">
      <alignment horizontal="center" vertical="center"/>
    </xf>
    <xf numFmtId="2" fontId="1" fillId="2" borderId="4" xfId="0" applyNumberFormat="1" applyFont="1" applyFill="1" applyBorder="1" applyAlignment="1">
      <alignment horizontal="center" vertical="center"/>
    </xf>
    <xf numFmtId="2" fontId="1" fillId="2" borderId="35" xfId="0" applyNumberFormat="1" applyFont="1" applyFill="1" applyBorder="1" applyAlignment="1">
      <alignment horizontal="center" vertical="center"/>
    </xf>
    <xf numFmtId="2" fontId="1" fillId="2" borderId="65" xfId="0" applyNumberFormat="1" applyFont="1" applyFill="1" applyBorder="1" applyAlignment="1">
      <alignment horizontal="center" vertical="center"/>
    </xf>
    <xf numFmtId="165" fontId="0" fillId="0" borderId="16" xfId="0" applyNumberFormat="1" applyBorder="1" applyAlignment="1" applyProtection="1">
      <alignment horizontal="center" vertical="center"/>
      <protection hidden="1"/>
    </xf>
    <xf numFmtId="0" fontId="0" fillId="0" borderId="13" xfId="0" applyBorder="1" applyAlignment="1" applyProtection="1">
      <alignment horizontal="center" vertical="center"/>
      <protection hidden="1"/>
    </xf>
    <xf numFmtId="1" fontId="7" fillId="13" borderId="3" xfId="0" applyNumberFormat="1" applyFont="1" applyFill="1" applyBorder="1" applyAlignment="1" applyProtection="1">
      <alignment horizontal="left" vertical="center"/>
      <protection locked="0"/>
    </xf>
    <xf numFmtId="1" fontId="7" fillId="13" borderId="7" xfId="0" applyNumberFormat="1" applyFont="1" applyFill="1" applyBorder="1" applyAlignment="1" applyProtection="1">
      <alignment horizontal="left" vertical="center"/>
      <protection locked="0"/>
    </xf>
    <xf numFmtId="0" fontId="108" fillId="0" borderId="0" xfId="0" applyFont="1" applyProtection="1">
      <protection locked="0" hidden="1"/>
    </xf>
    <xf numFmtId="165" fontId="11" fillId="19" borderId="1" xfId="0" applyNumberFormat="1" applyFont="1" applyFill="1" applyBorder="1" applyAlignment="1" applyProtection="1">
      <alignment horizontal="center" vertical="center"/>
      <protection locked="0"/>
    </xf>
    <xf numFmtId="0" fontId="66" fillId="0" borderId="66" xfId="0" applyFont="1" applyBorder="1" applyAlignment="1">
      <alignment horizontal="left"/>
    </xf>
    <xf numFmtId="0" fontId="66" fillId="0" borderId="0" xfId="0" applyFont="1" applyAlignment="1">
      <alignment horizontal="left"/>
    </xf>
    <xf numFmtId="165" fontId="7" fillId="10" borderId="15" xfId="0" applyNumberFormat="1" applyFont="1" applyFill="1" applyBorder="1" applyAlignment="1" applyProtection="1">
      <alignment horizontal="center" vertical="center"/>
      <protection hidden="1"/>
    </xf>
    <xf numFmtId="165" fontId="7" fillId="0" borderId="67" xfId="0" applyNumberFormat="1" applyFont="1" applyBorder="1" applyAlignment="1" applyProtection="1">
      <alignment horizontal="center" vertical="center"/>
      <protection hidden="1"/>
    </xf>
    <xf numFmtId="0" fontId="7" fillId="0" borderId="68" xfId="0" applyFont="1" applyBorder="1" applyAlignment="1" applyProtection="1">
      <alignment horizontal="left" vertical="center"/>
      <protection hidden="1"/>
    </xf>
    <xf numFmtId="2" fontId="11" fillId="8" borderId="9" xfId="0" applyNumberFormat="1" applyFont="1" applyFill="1" applyBorder="1" applyAlignment="1" applyProtection="1">
      <alignment horizontal="center" vertical="center"/>
      <protection locked="0"/>
    </xf>
    <xf numFmtId="0" fontId="11" fillId="0" borderId="0" xfId="0" applyFont="1" applyAlignment="1" applyProtection="1">
      <alignment horizontal="center" vertical="center"/>
      <protection locked="0"/>
    </xf>
    <xf numFmtId="165" fontId="11" fillId="20" borderId="69" xfId="0" applyNumberFormat="1" applyFont="1" applyFill="1" applyBorder="1" applyAlignment="1" applyProtection="1">
      <alignment horizontal="left" vertical="center"/>
      <protection hidden="1"/>
    </xf>
    <xf numFmtId="2" fontId="11" fillId="20" borderId="70" xfId="0" applyNumberFormat="1" applyFont="1" applyFill="1" applyBorder="1" applyAlignment="1" applyProtection="1">
      <alignment horizontal="center" vertical="center"/>
      <protection locked="0"/>
    </xf>
    <xf numFmtId="0" fontId="30" fillId="0" borderId="0" xfId="0" applyFont="1" applyAlignment="1">
      <alignment vertical="center" wrapText="1"/>
    </xf>
    <xf numFmtId="0" fontId="30" fillId="0" borderId="0" xfId="0" applyFont="1" applyAlignment="1">
      <alignment vertical="center"/>
    </xf>
    <xf numFmtId="0" fontId="102" fillId="21" borderId="0" xfId="0" applyFont="1" applyFill="1" applyProtection="1">
      <protection hidden="1"/>
    </xf>
    <xf numFmtId="2" fontId="102" fillId="0" borderId="0" xfId="0" applyNumberFormat="1" applyFont="1" applyProtection="1">
      <protection hidden="1"/>
    </xf>
    <xf numFmtId="2" fontId="102" fillId="0" borderId="0" xfId="0" applyNumberFormat="1" applyFont="1"/>
    <xf numFmtId="0" fontId="80" fillId="9" borderId="3" xfId="0" applyFont="1" applyFill="1" applyBorder="1" applyAlignment="1" applyProtection="1">
      <alignment vertical="center"/>
      <protection hidden="1"/>
    </xf>
    <xf numFmtId="0" fontId="113" fillId="0" borderId="0" xfId="0" applyFont="1" applyProtection="1">
      <protection hidden="1"/>
    </xf>
    <xf numFmtId="0" fontId="81" fillId="0" borderId="0" xfId="0" applyFont="1" applyProtection="1">
      <protection hidden="1"/>
    </xf>
    <xf numFmtId="0" fontId="82" fillId="0" borderId="1" xfId="0" applyFont="1" applyBorder="1" applyAlignment="1" applyProtection="1">
      <alignment horizontal="right" vertical="center"/>
      <protection hidden="1"/>
    </xf>
    <xf numFmtId="0" fontId="86" fillId="0" borderId="0" xfId="0" applyFont="1" applyAlignment="1" applyProtection="1">
      <alignment vertical="center" wrapText="1"/>
      <protection hidden="1"/>
    </xf>
    <xf numFmtId="0" fontId="102" fillId="0" borderId="0" xfId="0" applyFont="1" applyAlignment="1" applyProtection="1">
      <alignment wrapText="1"/>
      <protection hidden="1"/>
    </xf>
    <xf numFmtId="0" fontId="113" fillId="0" borderId="0" xfId="0" applyFont="1" applyAlignment="1" applyProtection="1">
      <alignment wrapText="1"/>
      <protection hidden="1"/>
    </xf>
    <xf numFmtId="0" fontId="81" fillId="0" borderId="0" xfId="0" applyFont="1" applyAlignment="1" applyProtection="1">
      <alignment wrapText="1"/>
      <protection hidden="1"/>
    </xf>
    <xf numFmtId="0" fontId="88" fillId="7" borderId="1" xfId="0" applyFont="1" applyFill="1" applyBorder="1" applyAlignment="1" applyProtection="1">
      <alignment horizontal="center" vertical="center" wrapText="1"/>
      <protection hidden="1"/>
    </xf>
    <xf numFmtId="2" fontId="88" fillId="7" borderId="1" xfId="0" applyNumberFormat="1" applyFont="1" applyFill="1" applyBorder="1" applyAlignment="1" applyProtection="1">
      <alignment horizontal="center" vertical="center" wrapText="1"/>
      <protection hidden="1"/>
    </xf>
    <xf numFmtId="0" fontId="88" fillId="7" borderId="4" xfId="0" applyFont="1" applyFill="1" applyBorder="1" applyAlignment="1" applyProtection="1">
      <alignment horizontal="center" vertical="center" wrapText="1"/>
      <protection hidden="1"/>
    </xf>
    <xf numFmtId="0" fontId="89" fillId="3" borderId="1" xfId="0" applyFont="1" applyFill="1" applyBorder="1" applyAlignment="1" applyProtection="1">
      <alignment horizontal="left" vertical="center"/>
      <protection locked="0"/>
    </xf>
    <xf numFmtId="165" fontId="90" fillId="10" borderId="1" xfId="0" applyNumberFormat="1" applyFont="1" applyFill="1" applyBorder="1" applyAlignment="1" applyProtection="1">
      <alignment horizontal="center" vertical="center"/>
      <protection hidden="1"/>
    </xf>
    <xf numFmtId="0" fontId="89" fillId="0" borderId="3" xfId="0" applyFont="1" applyBorder="1" applyAlignment="1" applyProtection="1">
      <alignment horizontal="center" vertical="center"/>
      <protection hidden="1"/>
    </xf>
    <xf numFmtId="0" fontId="88" fillId="0" borderId="8" xfId="0" applyFont="1" applyBorder="1" applyAlignment="1" applyProtection="1">
      <alignment horizontal="right" vertical="center"/>
      <protection hidden="1"/>
    </xf>
    <xf numFmtId="165" fontId="91" fillId="6" borderId="1" xfId="0" applyNumberFormat="1" applyFont="1" applyFill="1" applyBorder="1" applyAlignment="1" applyProtection="1">
      <alignment horizontal="center" vertical="center"/>
      <protection hidden="1"/>
    </xf>
    <xf numFmtId="165" fontId="91" fillId="5" borderId="1" xfId="0" applyNumberFormat="1" applyFont="1" applyFill="1" applyBorder="1" applyAlignment="1" applyProtection="1">
      <alignment horizontal="left" vertical="center"/>
      <protection hidden="1"/>
    </xf>
    <xf numFmtId="0" fontId="117" fillId="0" borderId="0" xfId="0" applyFont="1" applyAlignment="1" applyProtection="1">
      <alignment horizontal="left" vertical="center"/>
      <protection hidden="1"/>
    </xf>
    <xf numFmtId="0" fontId="117" fillId="0" borderId="0" xfId="0" applyFont="1" applyAlignment="1" applyProtection="1">
      <alignment horizontal="right" vertical="center"/>
      <protection hidden="1"/>
    </xf>
    <xf numFmtId="1" fontId="92" fillId="4" borderId="0" xfId="0" applyNumberFormat="1" applyFont="1" applyFill="1" applyAlignment="1" applyProtection="1">
      <alignment horizontal="center" vertical="center"/>
      <protection hidden="1"/>
    </xf>
    <xf numFmtId="0" fontId="89" fillId="21" borderId="0" xfId="0" applyFont="1" applyFill="1" applyAlignment="1" applyProtection="1">
      <alignment horizontal="center" vertical="center"/>
      <protection hidden="1"/>
    </xf>
    <xf numFmtId="0" fontId="88" fillId="21" borderId="0" xfId="0" applyFont="1" applyFill="1" applyAlignment="1" applyProtection="1">
      <alignment horizontal="right" vertical="center"/>
      <protection hidden="1"/>
    </xf>
    <xf numFmtId="0" fontId="91" fillId="0" borderId="0" xfId="0" applyFont="1" applyAlignment="1" applyProtection="1">
      <alignment horizontal="right" vertical="center"/>
      <protection hidden="1"/>
    </xf>
    <xf numFmtId="2" fontId="91" fillId="6" borderId="1" xfId="0" applyNumberFormat="1" applyFont="1" applyFill="1" applyBorder="1" applyAlignment="1" applyProtection="1">
      <alignment horizontal="center" vertical="center"/>
      <protection hidden="1"/>
    </xf>
    <xf numFmtId="0" fontId="117" fillId="0" borderId="13" xfId="0" applyFont="1" applyBorder="1" applyAlignment="1" applyProtection="1">
      <alignment horizontal="right" vertical="center"/>
      <protection hidden="1"/>
    </xf>
    <xf numFmtId="0" fontId="93" fillId="13" borderId="1" xfId="0" applyFont="1" applyFill="1" applyBorder="1" applyAlignment="1" applyProtection="1">
      <alignment horizontal="center" vertical="center"/>
      <protection locked="0"/>
    </xf>
    <xf numFmtId="0" fontId="95" fillId="0" borderId="0" xfId="0" applyFont="1" applyProtection="1">
      <protection locked="0"/>
    </xf>
    <xf numFmtId="0" fontId="95" fillId="0" borderId="0" xfId="0" applyFont="1" applyAlignment="1">
      <alignment horizontal="center"/>
    </xf>
    <xf numFmtId="0" fontId="96" fillId="0" borderId="0" xfId="0" applyFont="1" applyAlignment="1">
      <alignment horizontal="center" textRotation="90"/>
    </xf>
    <xf numFmtId="0" fontId="95" fillId="0" borderId="0" xfId="0" applyFont="1"/>
    <xf numFmtId="0" fontId="97" fillId="0" borderId="0" xfId="0" applyFont="1" applyAlignment="1">
      <alignment textRotation="90"/>
    </xf>
    <xf numFmtId="0" fontId="96" fillId="0" borderId="0" xfId="0" applyFont="1" applyAlignment="1">
      <alignment textRotation="90"/>
    </xf>
    <xf numFmtId="0" fontId="96" fillId="0" borderId="0" xfId="0" applyFont="1"/>
    <xf numFmtId="0" fontId="97" fillId="0" borderId="0" xfId="0" applyFont="1"/>
    <xf numFmtId="0" fontId="97" fillId="13" borderId="1" xfId="0" applyFont="1" applyFill="1" applyBorder="1" applyProtection="1">
      <protection locked="0"/>
    </xf>
    <xf numFmtId="0" fontId="96" fillId="13" borderId="1" xfId="0" applyFont="1" applyFill="1" applyBorder="1" applyProtection="1">
      <protection locked="0"/>
    </xf>
    <xf numFmtId="2" fontId="96" fillId="13" borderId="1" xfId="0" applyNumberFormat="1" applyFont="1" applyFill="1" applyBorder="1" applyProtection="1">
      <protection locked="0"/>
    </xf>
    <xf numFmtId="169" fontId="96" fillId="13" borderId="1" xfId="0" applyNumberFormat="1" applyFont="1" applyFill="1" applyBorder="1" applyProtection="1">
      <protection locked="0"/>
    </xf>
    <xf numFmtId="0" fontId="96" fillId="13" borderId="3" xfId="0" applyFont="1" applyFill="1" applyBorder="1" applyProtection="1">
      <protection locked="0"/>
    </xf>
    <xf numFmtId="0" fontId="98" fillId="0" borderId="0" xfId="0" applyFont="1"/>
    <xf numFmtId="0" fontId="97" fillId="13" borderId="3" xfId="0" applyFont="1" applyFill="1" applyBorder="1" applyProtection="1">
      <protection locked="0"/>
    </xf>
    <xf numFmtId="2" fontId="11" fillId="6" borderId="1" xfId="0" applyNumberFormat="1" applyFont="1" applyFill="1" applyBorder="1" applyAlignment="1" applyProtection="1">
      <alignment horizontal="center" vertical="center"/>
      <protection hidden="1"/>
    </xf>
    <xf numFmtId="2" fontId="90" fillId="3" borderId="1" xfId="0" applyNumberFormat="1" applyFont="1" applyFill="1" applyBorder="1" applyAlignment="1" applyProtection="1">
      <alignment horizontal="center" vertical="center"/>
      <protection locked="0"/>
    </xf>
    <xf numFmtId="0" fontId="11" fillId="0" borderId="0" xfId="0" applyFont="1" applyAlignment="1" applyProtection="1">
      <alignment vertical="center" wrapText="1"/>
      <protection hidden="1"/>
    </xf>
    <xf numFmtId="0" fontId="12" fillId="0" borderId="0" xfId="0" applyFont="1" applyAlignment="1">
      <alignment wrapText="1"/>
    </xf>
    <xf numFmtId="0" fontId="105" fillId="0" borderId="0" xfId="0" applyFont="1" applyAlignment="1">
      <alignment wrapText="1"/>
    </xf>
    <xf numFmtId="0" fontId="33" fillId="0" borderId="0" xfId="0" applyFont="1" applyAlignment="1" applyProtection="1">
      <alignment vertical="center"/>
      <protection hidden="1"/>
    </xf>
    <xf numFmtId="1" fontId="36" fillId="0" borderId="0" xfId="0" applyNumberFormat="1" applyFont="1" applyAlignment="1" applyProtection="1">
      <alignment horizontal="center" vertical="center"/>
      <protection hidden="1"/>
    </xf>
    <xf numFmtId="0" fontId="36" fillId="0" borderId="0" xfId="0" applyFont="1" applyAlignment="1" applyProtection="1">
      <alignment horizontal="right" vertical="center"/>
      <protection hidden="1"/>
    </xf>
    <xf numFmtId="2" fontId="103" fillId="0" borderId="0" xfId="0" applyNumberFormat="1" applyFont="1" applyAlignment="1" applyProtection="1">
      <alignment horizontal="center" vertical="center"/>
      <protection hidden="1"/>
    </xf>
    <xf numFmtId="165" fontId="90" fillId="3" borderId="1" xfId="0" applyNumberFormat="1" applyFont="1" applyFill="1" applyBorder="1" applyAlignment="1" applyProtection="1">
      <alignment horizontal="center" vertical="center"/>
      <protection locked="0"/>
    </xf>
    <xf numFmtId="2" fontId="27" fillId="2" borderId="1" xfId="0" applyNumberFormat="1" applyFont="1" applyFill="1" applyBorder="1" applyAlignment="1" applyProtection="1">
      <alignment horizontal="center" vertical="center"/>
      <protection hidden="1"/>
    </xf>
    <xf numFmtId="2" fontId="103" fillId="0" borderId="0" xfId="0" applyNumberFormat="1" applyFont="1" applyAlignment="1" applyProtection="1">
      <alignment horizontal="center"/>
      <protection hidden="1"/>
    </xf>
    <xf numFmtId="0" fontId="103" fillId="0" borderId="0" xfId="0" applyFont="1" applyAlignment="1" applyProtection="1">
      <alignment horizontal="center"/>
      <protection hidden="1"/>
    </xf>
    <xf numFmtId="165" fontId="103" fillId="0" borderId="0" xfId="0" applyNumberFormat="1" applyFont="1" applyProtection="1">
      <protection hidden="1"/>
    </xf>
    <xf numFmtId="2" fontId="11" fillId="18" borderId="1" xfId="0" applyNumberFormat="1" applyFont="1" applyFill="1" applyBorder="1" applyAlignment="1" applyProtection="1">
      <alignment horizontal="center" vertical="center"/>
      <protection hidden="1"/>
    </xf>
    <xf numFmtId="0" fontId="5" fillId="13" borderId="1" xfId="0" applyFont="1" applyFill="1" applyBorder="1" applyProtection="1">
      <protection locked="0"/>
    </xf>
    <xf numFmtId="2" fontId="5" fillId="13" borderId="1" xfId="0" applyNumberFormat="1" applyFont="1" applyFill="1" applyBorder="1" applyProtection="1">
      <protection locked="0"/>
    </xf>
    <xf numFmtId="169" fontId="5" fillId="13" borderId="1" xfId="0" applyNumberFormat="1" applyFont="1" applyFill="1" applyBorder="1" applyProtection="1">
      <protection locked="0"/>
    </xf>
    <xf numFmtId="0" fontId="5" fillId="13" borderId="3" xfId="0" applyFont="1" applyFill="1" applyBorder="1" applyProtection="1">
      <protection locked="0"/>
    </xf>
    <xf numFmtId="0" fontId="103" fillId="0" borderId="0" xfId="0" applyFont="1" applyAlignment="1">
      <alignment horizontal="center"/>
    </xf>
    <xf numFmtId="164" fontId="103" fillId="0" borderId="0" xfId="0" applyNumberFormat="1" applyFont="1" applyProtection="1">
      <protection hidden="1"/>
    </xf>
    <xf numFmtId="0" fontId="103" fillId="0" borderId="0" xfId="0" applyFont="1"/>
    <xf numFmtId="2" fontId="103" fillId="0" borderId="0" xfId="0" applyNumberFormat="1" applyFont="1" applyProtection="1">
      <protection hidden="1"/>
    </xf>
    <xf numFmtId="0" fontId="2" fillId="22" borderId="1" xfId="1" applyFont="1" applyFill="1" applyBorder="1" applyAlignment="1" applyProtection="1">
      <alignment horizontal="right" vertical="center"/>
      <protection locked="0"/>
    </xf>
    <xf numFmtId="165" fontId="5" fillId="22" borderId="1" xfId="0" applyNumberFormat="1" applyFont="1" applyFill="1" applyBorder="1" applyAlignment="1" applyProtection="1">
      <alignment horizontal="center" vertical="center"/>
      <protection locked="0"/>
    </xf>
    <xf numFmtId="0" fontId="11" fillId="22" borderId="4" xfId="0" applyFont="1" applyFill="1" applyBorder="1" applyAlignment="1" applyProtection="1">
      <alignment horizontal="center" vertical="center"/>
      <protection locked="0"/>
    </xf>
    <xf numFmtId="0" fontId="11" fillId="22" borderId="1" xfId="0" applyFont="1" applyFill="1" applyBorder="1" applyAlignment="1" applyProtection="1">
      <alignment horizontal="center" vertical="center"/>
      <protection locked="0" hidden="1"/>
    </xf>
    <xf numFmtId="0" fontId="89" fillId="22" borderId="1" xfId="0" applyFont="1" applyFill="1" applyBorder="1" applyAlignment="1" applyProtection="1">
      <alignment horizontal="left" vertical="center"/>
      <protection locked="0"/>
    </xf>
    <xf numFmtId="0" fontId="90" fillId="22" borderId="1" xfId="0" applyFont="1" applyFill="1" applyBorder="1" applyAlignment="1" applyProtection="1">
      <alignment vertical="center"/>
      <protection locked="0" hidden="1"/>
    </xf>
    <xf numFmtId="0" fontId="91" fillId="22" borderId="1" xfId="0" applyFont="1" applyFill="1" applyBorder="1" applyAlignment="1" applyProtection="1">
      <alignment horizontal="center" vertical="center"/>
      <protection locked="0"/>
    </xf>
    <xf numFmtId="2" fontId="7" fillId="22" borderId="44" xfId="0" applyNumberFormat="1" applyFont="1" applyFill="1" applyBorder="1" applyAlignment="1" applyProtection="1">
      <alignment horizontal="left" vertical="center"/>
      <protection locked="0" hidden="1"/>
    </xf>
    <xf numFmtId="2" fontId="7" fillId="22" borderId="62" xfId="0" applyNumberFormat="1" applyFont="1" applyFill="1" applyBorder="1" applyAlignment="1" applyProtection="1">
      <alignment horizontal="left" vertical="center"/>
      <protection locked="0" hidden="1"/>
    </xf>
    <xf numFmtId="165" fontId="11" fillId="22" borderId="9" xfId="0" applyNumberFormat="1" applyFont="1" applyFill="1" applyBorder="1" applyAlignment="1" applyProtection="1">
      <alignment horizontal="center" vertical="center"/>
      <protection locked="0" hidden="1"/>
    </xf>
    <xf numFmtId="165" fontId="11" fillId="22" borderId="4" xfId="0" applyNumberFormat="1" applyFont="1" applyFill="1" applyBorder="1" applyAlignment="1" applyProtection="1">
      <alignment horizontal="center" vertical="center"/>
      <protection locked="0" hidden="1"/>
    </xf>
    <xf numFmtId="0" fontId="11" fillId="22" borderId="39" xfId="0" applyFont="1" applyFill="1" applyBorder="1" applyAlignment="1" applyProtection="1">
      <alignment horizontal="center" vertical="center"/>
      <protection locked="0"/>
    </xf>
    <xf numFmtId="0" fontId="11" fillId="22" borderId="39" xfId="0" applyFont="1" applyFill="1" applyBorder="1" applyAlignment="1" applyProtection="1">
      <alignment horizontal="center" vertical="center" wrapText="1"/>
      <protection locked="0"/>
    </xf>
    <xf numFmtId="0" fontId="7" fillId="22" borderId="39" xfId="0" applyFont="1" applyFill="1" applyBorder="1" applyAlignment="1" applyProtection="1">
      <alignment horizontal="center" vertical="center"/>
      <protection locked="0"/>
    </xf>
    <xf numFmtId="0" fontId="96" fillId="22" borderId="1" xfId="0" applyFont="1" applyFill="1" applyBorder="1" applyProtection="1">
      <protection locked="0"/>
    </xf>
    <xf numFmtId="0" fontId="104" fillId="0" borderId="0" xfId="0" applyFont="1" applyAlignment="1" applyProtection="1">
      <alignment horizontal="left" vertical="center"/>
      <protection hidden="1"/>
    </xf>
    <xf numFmtId="1" fontId="104" fillId="13" borderId="7" xfId="0" applyNumberFormat="1" applyFont="1" applyFill="1" applyBorder="1" applyAlignment="1" applyProtection="1">
      <alignment horizontal="left" vertical="center"/>
      <protection locked="0"/>
    </xf>
    <xf numFmtId="1" fontId="104" fillId="13" borderId="8" xfId="0" applyNumberFormat="1" applyFont="1" applyFill="1" applyBorder="1" applyAlignment="1" applyProtection="1">
      <alignment horizontal="left" vertical="center"/>
      <protection locked="0"/>
    </xf>
    <xf numFmtId="0" fontId="118" fillId="0" borderId="0" xfId="1" applyFont="1" applyFill="1" applyBorder="1" applyAlignment="1" applyProtection="1">
      <alignment horizontal="right" vertical="center"/>
      <protection hidden="1"/>
    </xf>
    <xf numFmtId="0" fontId="117" fillId="0" borderId="0" xfId="0" applyFont="1" applyAlignment="1" applyProtection="1">
      <alignment horizontal="center" wrapText="1"/>
      <protection hidden="1"/>
    </xf>
    <xf numFmtId="0" fontId="119" fillId="0" borderId="0" xfId="1" applyFont="1" applyBorder="1" applyAlignment="1" applyProtection="1">
      <alignment vertical="center"/>
      <protection hidden="1"/>
    </xf>
    <xf numFmtId="0" fontId="120" fillId="0" borderId="0" xfId="1" applyFont="1" applyBorder="1" applyAlignment="1" applyProtection="1">
      <alignment vertical="center"/>
      <protection hidden="1"/>
    </xf>
    <xf numFmtId="0" fontId="121" fillId="21" borderId="0" xfId="0" applyFont="1" applyFill="1" applyAlignment="1" applyProtection="1">
      <alignment vertical="center"/>
      <protection hidden="1"/>
    </xf>
    <xf numFmtId="0" fontId="121" fillId="0" borderId="0" xfId="0" applyFont="1" applyAlignment="1" applyProtection="1">
      <alignment vertical="center"/>
      <protection hidden="1"/>
    </xf>
    <xf numFmtId="0" fontId="122" fillId="0" borderId="0" xfId="0" applyFont="1" applyAlignment="1" applyProtection="1">
      <alignment vertical="center" wrapText="1"/>
      <protection hidden="1"/>
    </xf>
    <xf numFmtId="0" fontId="108" fillId="0" borderId="0" xfId="0" applyFont="1" applyAlignment="1" applyProtection="1">
      <alignment wrapText="1"/>
      <protection hidden="1"/>
    </xf>
    <xf numFmtId="0" fontId="103" fillId="0" borderId="0" xfId="0" applyFont="1" applyAlignment="1" applyProtection="1">
      <alignment wrapText="1"/>
      <protection hidden="1"/>
    </xf>
    <xf numFmtId="0" fontId="123" fillId="21" borderId="0" xfId="0" applyFont="1" applyFill="1" applyAlignment="1" applyProtection="1">
      <alignment horizontal="center" vertical="center" wrapText="1"/>
      <protection hidden="1"/>
    </xf>
    <xf numFmtId="0" fontId="123" fillId="0" borderId="0" xfId="0" applyFont="1" applyAlignment="1" applyProtection="1">
      <alignment horizontal="center" vertical="center" wrapText="1"/>
      <protection hidden="1"/>
    </xf>
    <xf numFmtId="0" fontId="103" fillId="0" borderId="0" xfId="0" applyFont="1" applyAlignment="1" applyProtection="1">
      <alignment horizontal="center" vertical="center"/>
      <protection hidden="1"/>
    </xf>
    <xf numFmtId="165" fontId="124" fillId="21" borderId="0" xfId="0" applyNumberFormat="1" applyFont="1" applyFill="1" applyAlignment="1" applyProtection="1">
      <alignment horizontal="center" vertical="center"/>
      <protection hidden="1"/>
    </xf>
    <xf numFmtId="165" fontId="124" fillId="0" borderId="0" xfId="0" applyNumberFormat="1" applyFont="1" applyAlignment="1" applyProtection="1">
      <alignment horizontal="center" vertical="center"/>
      <protection hidden="1"/>
    </xf>
    <xf numFmtId="0" fontId="103" fillId="0" borderId="0" xfId="0" applyFont="1" applyAlignment="1" applyProtection="1">
      <alignment vertical="center"/>
      <protection hidden="1"/>
    </xf>
    <xf numFmtId="0" fontId="108" fillId="0" borderId="0" xfId="0" applyFont="1" applyAlignment="1" applyProtection="1">
      <alignment vertical="top"/>
      <protection hidden="1"/>
    </xf>
    <xf numFmtId="0" fontId="123" fillId="0" borderId="0" xfId="0" applyFont="1" applyAlignment="1" applyProtection="1">
      <alignment vertical="center"/>
      <protection hidden="1"/>
    </xf>
    <xf numFmtId="0" fontId="108" fillId="0" borderId="0" xfId="0" applyFont="1" applyAlignment="1" applyProtection="1">
      <alignment vertical="center"/>
      <protection hidden="1"/>
    </xf>
    <xf numFmtId="165" fontId="122" fillId="21" borderId="0" xfId="0" applyNumberFormat="1" applyFont="1" applyFill="1" applyAlignment="1" applyProtection="1">
      <alignment horizontal="center" vertical="center"/>
      <protection hidden="1"/>
    </xf>
    <xf numFmtId="165" fontId="125" fillId="21" borderId="0" xfId="0" applyNumberFormat="1" applyFont="1" applyFill="1" applyAlignment="1" applyProtection="1">
      <alignment vertical="center"/>
      <protection hidden="1"/>
    </xf>
    <xf numFmtId="165" fontId="125" fillId="0" borderId="0" xfId="0" applyNumberFormat="1" applyFont="1" applyAlignment="1" applyProtection="1">
      <alignment vertical="center"/>
      <protection hidden="1"/>
    </xf>
    <xf numFmtId="2" fontId="103" fillId="0" borderId="0" xfId="0" applyNumberFormat="1" applyFont="1" applyAlignment="1" applyProtection="1">
      <alignment vertical="center"/>
      <protection hidden="1"/>
    </xf>
    <xf numFmtId="1" fontId="124" fillId="0" borderId="0" xfId="0" applyNumberFormat="1" applyFont="1" applyAlignment="1" applyProtection="1">
      <alignment horizontal="left" vertical="center"/>
      <protection hidden="1"/>
    </xf>
    <xf numFmtId="2" fontId="124" fillId="0" borderId="0" xfId="0" applyNumberFormat="1" applyFont="1" applyAlignment="1" applyProtection="1">
      <alignment horizontal="center" vertical="center"/>
      <protection hidden="1"/>
    </xf>
    <xf numFmtId="0" fontId="124" fillId="0" borderId="0" xfId="0" applyFont="1" applyProtection="1">
      <protection hidden="1"/>
    </xf>
    <xf numFmtId="0" fontId="126" fillId="0" borderId="0" xfId="0" applyFont="1" applyAlignment="1" applyProtection="1">
      <alignment wrapText="1"/>
      <protection hidden="1"/>
    </xf>
    <xf numFmtId="0" fontId="127" fillId="0" borderId="0" xfId="0" applyFont="1" applyProtection="1">
      <protection hidden="1"/>
    </xf>
    <xf numFmtId="0" fontId="126" fillId="0" borderId="0" xfId="0" applyFont="1" applyProtection="1">
      <protection hidden="1"/>
    </xf>
    <xf numFmtId="0" fontId="128" fillId="0" borderId="0" xfId="0" applyFont="1" applyAlignment="1" applyProtection="1">
      <alignment vertical="center"/>
      <protection hidden="1"/>
    </xf>
    <xf numFmtId="0" fontId="123" fillId="0" borderId="0" xfId="0" applyFont="1" applyAlignment="1" applyProtection="1">
      <alignment wrapText="1"/>
      <protection hidden="1"/>
    </xf>
    <xf numFmtId="168" fontId="103" fillId="0" borderId="0" xfId="0" applyNumberFormat="1" applyFont="1" applyProtection="1">
      <protection hidden="1"/>
    </xf>
    <xf numFmtId="0" fontId="103" fillId="0" borderId="0" xfId="0" applyFont="1" applyAlignment="1" applyProtection="1">
      <alignment horizontal="center" wrapText="1"/>
      <protection hidden="1"/>
    </xf>
    <xf numFmtId="167" fontId="103" fillId="0" borderId="0" xfId="0" applyNumberFormat="1" applyFont="1" applyProtection="1">
      <protection hidden="1"/>
    </xf>
    <xf numFmtId="1" fontId="103" fillId="0" borderId="0" xfId="0" applyNumberFormat="1" applyFont="1" applyAlignment="1" applyProtection="1">
      <alignment horizontal="left" vertical="center"/>
      <protection hidden="1"/>
    </xf>
    <xf numFmtId="1" fontId="103" fillId="0" borderId="0" xfId="0" applyNumberFormat="1" applyFont="1" applyProtection="1">
      <protection hidden="1"/>
    </xf>
    <xf numFmtId="1" fontId="108" fillId="0" borderId="0" xfId="0" applyNumberFormat="1" applyFont="1" applyAlignment="1" applyProtection="1">
      <alignment vertical="center"/>
      <protection hidden="1"/>
    </xf>
    <xf numFmtId="0" fontId="129" fillId="0" borderId="0" xfId="0" applyFont="1" applyProtection="1">
      <protection hidden="1"/>
    </xf>
    <xf numFmtId="0" fontId="7" fillId="22" borderId="1" xfId="0" applyFont="1" applyFill="1" applyBorder="1" applyAlignment="1" applyProtection="1">
      <alignment horizontal="left" vertical="center"/>
      <protection locked="0"/>
    </xf>
    <xf numFmtId="0" fontId="5" fillId="3" borderId="17" xfId="0" applyFont="1" applyFill="1" applyBorder="1" applyAlignment="1">
      <alignment horizontal="left" wrapText="1"/>
    </xf>
    <xf numFmtId="0" fontId="5" fillId="3" borderId="0" xfId="0" applyFont="1" applyFill="1" applyAlignment="1">
      <alignment horizontal="left" wrapText="1"/>
    </xf>
    <xf numFmtId="0" fontId="5" fillId="3" borderId="18" xfId="0" applyFont="1" applyFill="1" applyBorder="1" applyAlignment="1">
      <alignment horizontal="left" wrapText="1"/>
    </xf>
    <xf numFmtId="0" fontId="5" fillId="3" borderId="11" xfId="0" applyFont="1" applyFill="1" applyBorder="1" applyAlignment="1">
      <alignment horizontal="left" wrapText="1"/>
    </xf>
    <xf numFmtId="0" fontId="5" fillId="3" borderId="16" xfId="0" applyFont="1" applyFill="1" applyBorder="1" applyAlignment="1">
      <alignment horizontal="left" wrapText="1"/>
    </xf>
    <xf numFmtId="0" fontId="5" fillId="3" borderId="71" xfId="0" applyFont="1" applyFill="1" applyBorder="1" applyAlignment="1">
      <alignment horizontal="left" wrapText="1"/>
    </xf>
    <xf numFmtId="0" fontId="0" fillId="3" borderId="0" xfId="0" applyFill="1"/>
    <xf numFmtId="0" fontId="0" fillId="3" borderId="18" xfId="0" applyFill="1" applyBorder="1"/>
    <xf numFmtId="0" fontId="5" fillId="13" borderId="17" xfId="0" applyFont="1" applyFill="1" applyBorder="1" applyAlignment="1">
      <alignment horizontal="left" wrapText="1"/>
    </xf>
    <xf numFmtId="0" fontId="0" fillId="13" borderId="0" xfId="0" applyFill="1" applyAlignment="1">
      <alignment horizontal="left" wrapText="1"/>
    </xf>
    <xf numFmtId="0" fontId="0" fillId="13" borderId="18" xfId="0" applyFill="1" applyBorder="1" applyAlignment="1">
      <alignment horizontal="left" wrapText="1"/>
    </xf>
    <xf numFmtId="0" fontId="1" fillId="3" borderId="17" xfId="0" applyFont="1" applyFill="1" applyBorder="1" applyAlignment="1">
      <alignment horizontal="left" wrapText="1"/>
    </xf>
    <xf numFmtId="0" fontId="2" fillId="0" borderId="16" xfId="0" applyFont="1" applyBorder="1" applyAlignment="1">
      <alignment horizontal="center"/>
    </xf>
    <xf numFmtId="0" fontId="30" fillId="0" borderId="10" xfId="0" applyFont="1" applyBorder="1" applyAlignment="1">
      <alignment horizontal="left" wrapText="1"/>
    </xf>
    <xf numFmtId="0" fontId="31" fillId="0" borderId="13" xfId="0" applyFont="1" applyBorder="1"/>
    <xf numFmtId="0" fontId="31" fillId="0" borderId="45" xfId="0" applyFont="1" applyBorder="1"/>
    <xf numFmtId="0" fontId="1" fillId="3" borderId="0" xfId="0" applyFont="1" applyFill="1" applyAlignment="1">
      <alignment horizontal="left" wrapText="1"/>
    </xf>
    <xf numFmtId="0" fontId="1" fillId="3" borderId="18" xfId="0" applyFont="1" applyFill="1" applyBorder="1" applyAlignment="1">
      <alignment horizontal="left" wrapText="1"/>
    </xf>
    <xf numFmtId="0" fontId="68" fillId="3" borderId="3" xfId="0" applyFont="1" applyFill="1" applyBorder="1" applyAlignment="1">
      <alignment horizontal="left" wrapText="1"/>
    </xf>
    <xf numFmtId="0" fontId="17" fillId="3" borderId="7" xfId="0" applyFont="1" applyFill="1" applyBorder="1" applyAlignment="1">
      <alignment horizontal="left" wrapText="1"/>
    </xf>
    <xf numFmtId="0" fontId="17" fillId="3" borderId="8" xfId="0" applyFont="1" applyFill="1" applyBorder="1" applyAlignment="1">
      <alignment horizontal="left" wrapText="1"/>
    </xf>
    <xf numFmtId="0" fontId="5" fillId="0" borderId="3" xfId="0" applyFont="1" applyBorder="1" applyAlignment="1">
      <alignment horizontal="left"/>
    </xf>
    <xf numFmtId="0" fontId="0" fillId="0" borderId="7" xfId="0" applyBorder="1"/>
    <xf numFmtId="0" fontId="0" fillId="0" borderId="8" xfId="0" applyBorder="1"/>
    <xf numFmtId="0" fontId="0" fillId="3" borderId="16" xfId="0" applyFill="1" applyBorder="1"/>
    <xf numFmtId="0" fontId="0" fillId="3" borderId="71" xfId="0" applyFill="1" applyBorder="1"/>
    <xf numFmtId="0" fontId="30" fillId="0" borderId="17" xfId="0" applyFont="1" applyBorder="1" applyAlignment="1">
      <alignment horizontal="left" wrapText="1"/>
    </xf>
    <xf numFmtId="0" fontId="30" fillId="0" borderId="0" xfId="0" applyFont="1" applyAlignment="1">
      <alignment horizontal="left" wrapText="1"/>
    </xf>
    <xf numFmtId="0" fontId="30" fillId="0" borderId="18" xfId="0" applyFont="1" applyBorder="1" applyAlignment="1">
      <alignment horizontal="left" wrapText="1"/>
    </xf>
    <xf numFmtId="0" fontId="14" fillId="0" borderId="13" xfId="0" applyFont="1" applyBorder="1" applyAlignment="1">
      <alignment horizontal="left" wrapText="1"/>
    </xf>
    <xf numFmtId="0" fontId="16" fillId="0" borderId="3" xfId="0" applyFont="1" applyBorder="1" applyAlignment="1">
      <alignment horizontal="left" wrapText="1"/>
    </xf>
    <xf numFmtId="0" fontId="101" fillId="0" borderId="7" xfId="1" applyBorder="1" applyAlignment="1" applyProtection="1">
      <alignment horizontal="center"/>
    </xf>
    <xf numFmtId="0" fontId="101" fillId="0" borderId="8" xfId="1" applyBorder="1" applyAlignment="1" applyProtection="1">
      <alignment horizontal="center"/>
    </xf>
    <xf numFmtId="0" fontId="101" fillId="0" borderId="3" xfId="1" applyFill="1" applyBorder="1" applyAlignment="1" applyProtection="1">
      <alignment horizontal="center" wrapText="1"/>
    </xf>
    <xf numFmtId="0" fontId="101" fillId="0" borderId="7" xfId="1" applyFill="1" applyBorder="1" applyAlignment="1" applyProtection="1">
      <alignment horizontal="center" wrapText="1"/>
    </xf>
    <xf numFmtId="0" fontId="101" fillId="0" borderId="8" xfId="1" applyFill="1" applyBorder="1" applyAlignment="1" applyProtection="1">
      <alignment horizontal="center" wrapText="1"/>
    </xf>
    <xf numFmtId="0" fontId="30" fillId="3" borderId="17" xfId="0" applyFont="1" applyFill="1" applyBorder="1" applyAlignment="1">
      <alignment horizontal="left" wrapText="1"/>
    </xf>
    <xf numFmtId="0" fontId="50" fillId="9" borderId="3" xfId="0" applyFont="1" applyFill="1" applyBorder="1" applyAlignment="1">
      <alignment horizontal="left" vertical="center"/>
    </xf>
    <xf numFmtId="0" fontId="50" fillId="9" borderId="8" xfId="0" applyFont="1" applyFill="1" applyBorder="1" applyAlignment="1">
      <alignment horizontal="left" vertical="center"/>
    </xf>
    <xf numFmtId="0" fontId="12" fillId="0" borderId="0" xfId="0" applyFont="1" applyAlignment="1">
      <alignment horizontal="left" vertical="center" wrapText="1"/>
    </xf>
    <xf numFmtId="0" fontId="130" fillId="3" borderId="17" xfId="1" applyFont="1" applyFill="1" applyBorder="1" applyAlignment="1" applyProtection="1">
      <alignment horizontal="center" wrapText="1"/>
    </xf>
    <xf numFmtId="0" fontId="130" fillId="3" borderId="0" xfId="1" applyFont="1" applyFill="1" applyBorder="1" applyAlignment="1" applyProtection="1">
      <alignment horizontal="center" wrapText="1"/>
    </xf>
    <xf numFmtId="0" fontId="130" fillId="3" borderId="18" xfId="1" applyFont="1" applyFill="1" applyBorder="1" applyAlignment="1" applyProtection="1">
      <alignment horizontal="center" wrapText="1"/>
    </xf>
    <xf numFmtId="0" fontId="5" fillId="13" borderId="0" xfId="0" applyFont="1" applyFill="1" applyAlignment="1">
      <alignment horizontal="left" wrapText="1"/>
    </xf>
    <xf numFmtId="0" fontId="5" fillId="13" borderId="18" xfId="0" applyFont="1" applyFill="1" applyBorder="1" applyAlignment="1">
      <alignment horizontal="left" wrapText="1"/>
    </xf>
    <xf numFmtId="0" fontId="38" fillId="0" borderId="10" xfId="0" applyFont="1" applyBorder="1" applyAlignment="1">
      <alignment horizontal="center" wrapText="1"/>
    </xf>
    <xf numFmtId="0" fontId="44" fillId="0" borderId="13" xfId="0" applyFont="1" applyBorder="1" applyAlignment="1">
      <alignment horizontal="center" wrapText="1"/>
    </xf>
    <xf numFmtId="0" fontId="44" fillId="0" borderId="45" xfId="0" applyFont="1" applyBorder="1" applyAlignment="1">
      <alignment horizontal="center" wrapText="1"/>
    </xf>
    <xf numFmtId="0" fontId="5" fillId="3" borderId="0" xfId="0" applyFont="1" applyFill="1"/>
    <xf numFmtId="0" fontId="5" fillId="3" borderId="18" xfId="0" applyFont="1" applyFill="1" applyBorder="1"/>
    <xf numFmtId="0" fontId="1" fillId="14" borderId="54" xfId="0" applyFont="1" applyFill="1" applyBorder="1" applyAlignment="1" applyProtection="1">
      <alignment horizontal="center" vertical="center"/>
      <protection hidden="1"/>
    </xf>
    <xf numFmtId="0" fontId="1" fillId="14" borderId="72" xfId="0" applyFont="1" applyFill="1" applyBorder="1" applyAlignment="1" applyProtection="1">
      <alignment horizontal="center" vertical="center"/>
      <protection hidden="1"/>
    </xf>
    <xf numFmtId="0" fontId="19" fillId="9" borderId="10" xfId="0" applyFont="1" applyFill="1" applyBorder="1" applyAlignment="1">
      <alignment horizontal="left" vertical="center"/>
    </xf>
    <xf numFmtId="0" fontId="19" fillId="9" borderId="45" xfId="0" applyFont="1" applyFill="1" applyBorder="1" applyAlignment="1">
      <alignment horizontal="left" vertical="center"/>
    </xf>
    <xf numFmtId="0" fontId="107" fillId="0" borderId="17" xfId="1" applyFont="1" applyBorder="1" applyAlignment="1" applyProtection="1">
      <alignment horizontal="right" vertical="center"/>
      <protection hidden="1"/>
    </xf>
    <xf numFmtId="0" fontId="107" fillId="0" borderId="0" xfId="1" applyFont="1" applyBorder="1" applyAlignment="1" applyProtection="1">
      <alignment horizontal="right" vertical="center"/>
      <protection hidden="1"/>
    </xf>
    <xf numFmtId="0" fontId="19" fillId="0" borderId="16" xfId="0" applyFont="1" applyBorder="1" applyAlignment="1" applyProtection="1">
      <alignment horizontal="left" vertical="center"/>
      <protection hidden="1"/>
    </xf>
    <xf numFmtId="0" fontId="34" fillId="0" borderId="16" xfId="0" applyFont="1" applyBorder="1" applyAlignment="1" applyProtection="1">
      <alignment horizontal="left" vertical="center"/>
      <protection hidden="1"/>
    </xf>
    <xf numFmtId="0" fontId="1" fillId="16" borderId="1" xfId="0" applyFont="1" applyFill="1" applyBorder="1" applyAlignment="1" applyProtection="1">
      <alignment horizontal="center" vertical="center" wrapText="1"/>
      <protection hidden="1"/>
    </xf>
    <xf numFmtId="0" fontId="44" fillId="0" borderId="0" xfId="0" applyFont="1" applyAlignment="1">
      <alignment horizontal="left" vertical="center"/>
    </xf>
    <xf numFmtId="0" fontId="1" fillId="16" borderId="3" xfId="0" applyFont="1" applyFill="1" applyBorder="1" applyAlignment="1" applyProtection="1">
      <alignment horizontal="center" vertical="center"/>
      <protection hidden="1"/>
    </xf>
    <xf numFmtId="0" fontId="0" fillId="16" borderId="7" xfId="0" applyFill="1" applyBorder="1" applyAlignment="1" applyProtection="1">
      <alignment horizontal="center" vertical="center"/>
      <protection hidden="1"/>
    </xf>
    <xf numFmtId="0" fontId="0" fillId="16" borderId="8" xfId="0" applyFill="1" applyBorder="1" applyAlignment="1" applyProtection="1">
      <alignment horizontal="center" vertical="center"/>
      <protection hidden="1"/>
    </xf>
    <xf numFmtId="0" fontId="5" fillId="5" borderId="3" xfId="0" applyFont="1" applyFill="1" applyBorder="1" applyAlignment="1" applyProtection="1">
      <alignment horizontal="left" vertical="center" wrapText="1"/>
      <protection hidden="1"/>
    </xf>
    <xf numFmtId="0" fontId="5" fillId="5" borderId="7" xfId="0" applyFont="1" applyFill="1" applyBorder="1" applyAlignment="1" applyProtection="1">
      <alignment horizontal="left" vertical="center" wrapText="1"/>
      <protection hidden="1"/>
    </xf>
    <xf numFmtId="0" fontId="5" fillId="5" borderId="8" xfId="0" applyFont="1" applyFill="1" applyBorder="1" applyAlignment="1" applyProtection="1">
      <alignment horizontal="left" vertical="center" wrapText="1"/>
      <protection hidden="1"/>
    </xf>
    <xf numFmtId="0" fontId="31" fillId="0" borderId="16" xfId="0" applyFont="1" applyBorder="1" applyAlignment="1" applyProtection="1">
      <alignment horizontal="left"/>
      <protection hidden="1"/>
    </xf>
    <xf numFmtId="0" fontId="12" fillId="0" borderId="13" xfId="0" applyFont="1" applyBorder="1" applyAlignment="1">
      <alignment horizontal="left" wrapText="1"/>
    </xf>
    <xf numFmtId="0" fontId="1" fillId="5" borderId="7" xfId="0" applyFont="1" applyFill="1" applyBorder="1" applyAlignment="1" applyProtection="1">
      <alignment horizontal="center" vertical="center"/>
      <protection hidden="1"/>
    </xf>
    <xf numFmtId="0" fontId="1" fillId="5" borderId="8" xfId="0" applyFont="1" applyFill="1" applyBorder="1" applyAlignment="1" applyProtection="1">
      <alignment horizontal="center" vertical="center"/>
      <protection hidden="1"/>
    </xf>
    <xf numFmtId="0" fontId="6" fillId="0" borderId="0" xfId="0" applyFont="1" applyAlignment="1" applyProtection="1">
      <alignment horizontal="center" vertical="center" wrapText="1"/>
      <protection hidden="1"/>
    </xf>
    <xf numFmtId="0" fontId="105" fillId="0" borderId="0" xfId="0" applyFont="1" applyAlignment="1">
      <alignment horizontal="left" wrapText="1"/>
    </xf>
    <xf numFmtId="0" fontId="33" fillId="0" borderId="0" xfId="0" applyFont="1" applyAlignment="1" applyProtection="1">
      <alignment horizontal="center" vertical="center"/>
      <protection hidden="1"/>
    </xf>
    <xf numFmtId="0" fontId="7" fillId="0" borderId="17" xfId="0" applyFont="1" applyBorder="1" applyAlignment="1">
      <alignment horizontal="left" vertical="center"/>
    </xf>
    <xf numFmtId="0" fontId="7" fillId="0" borderId="0" xfId="0" applyFont="1" applyAlignment="1">
      <alignment horizontal="left" vertical="center"/>
    </xf>
    <xf numFmtId="0" fontId="104" fillId="0" borderId="17" xfId="0" applyFont="1" applyBorder="1" applyAlignment="1" applyProtection="1">
      <alignment horizontal="left" vertical="center"/>
      <protection hidden="1"/>
    </xf>
    <xf numFmtId="0" fontId="104" fillId="0" borderId="0" xfId="0" applyFont="1" applyAlignment="1" applyProtection="1">
      <alignment horizontal="left" vertical="center"/>
      <protection hidden="1"/>
    </xf>
    <xf numFmtId="0" fontId="7" fillId="0" borderId="0" xfId="0" applyFont="1" applyAlignment="1">
      <alignment horizontal="left" vertical="center" wrapText="1"/>
    </xf>
    <xf numFmtId="0" fontId="57" fillId="0" borderId="17" xfId="1" applyFont="1" applyBorder="1" applyAlignment="1" applyProtection="1">
      <alignment horizontal="right" vertical="center"/>
      <protection hidden="1"/>
    </xf>
    <xf numFmtId="0" fontId="57" fillId="0" borderId="0" xfId="1" applyFont="1" applyBorder="1" applyAlignment="1" applyProtection="1">
      <alignment horizontal="right" vertical="center"/>
      <protection hidden="1"/>
    </xf>
    <xf numFmtId="0" fontId="12" fillId="0" borderId="0" xfId="0" applyFont="1" applyAlignment="1">
      <alignment horizontal="left" wrapText="1"/>
    </xf>
    <xf numFmtId="0" fontId="11" fillId="5" borderId="3" xfId="0" applyFont="1" applyFill="1" applyBorder="1" applyAlignment="1" applyProtection="1">
      <alignment horizontal="center" vertical="center"/>
      <protection hidden="1"/>
    </xf>
    <xf numFmtId="0" fontId="11" fillId="5" borderId="7" xfId="0" applyFont="1" applyFill="1" applyBorder="1" applyAlignment="1" applyProtection="1">
      <alignment horizontal="center" vertical="center"/>
      <protection hidden="1"/>
    </xf>
    <xf numFmtId="0" fontId="11" fillId="5" borderId="8" xfId="0" applyFont="1" applyFill="1" applyBorder="1" applyAlignment="1" applyProtection="1">
      <alignment horizontal="center" vertical="center"/>
      <protection hidden="1"/>
    </xf>
    <xf numFmtId="0" fontId="11" fillId="5" borderId="3" xfId="0" applyFont="1" applyFill="1" applyBorder="1" applyAlignment="1">
      <alignment horizontal="center" vertical="center"/>
    </xf>
    <xf numFmtId="0" fontId="11" fillId="5" borderId="7" xfId="0" applyFont="1" applyFill="1" applyBorder="1" applyAlignment="1">
      <alignment horizontal="center" vertical="center"/>
    </xf>
    <xf numFmtId="0" fontId="11" fillId="5" borderId="8" xfId="0" applyFont="1" applyFill="1" applyBorder="1" applyAlignment="1">
      <alignment horizontal="center" vertical="center"/>
    </xf>
    <xf numFmtId="0" fontId="17" fillId="0" borderId="16" xfId="0" applyFont="1" applyBorder="1" applyAlignment="1">
      <alignment horizontal="left" vertical="center"/>
    </xf>
    <xf numFmtId="0" fontId="7" fillId="0" borderId="10" xfId="0" applyFont="1" applyBorder="1" applyAlignment="1">
      <alignment horizontal="left" vertical="center"/>
    </xf>
    <xf numFmtId="0" fontId="7" fillId="0" borderId="13" xfId="0" applyFont="1" applyBorder="1" applyAlignment="1">
      <alignment horizontal="left" vertical="center"/>
    </xf>
    <xf numFmtId="0" fontId="11" fillId="0" borderId="0" xfId="0" applyFont="1" applyAlignment="1" applyProtection="1">
      <alignment horizontal="left" vertical="center" wrapText="1"/>
      <protection hidden="1"/>
    </xf>
    <xf numFmtId="0" fontId="94" fillId="0" borderId="0" xfId="0" applyFont="1" applyAlignment="1">
      <alignment horizontal="left" wrapText="1"/>
    </xf>
    <xf numFmtId="0" fontId="117" fillId="0" borderId="0" xfId="0" applyFont="1" applyAlignment="1" applyProtection="1">
      <alignment horizontal="left" wrapText="1"/>
      <protection hidden="1"/>
    </xf>
    <xf numFmtId="165" fontId="82" fillId="5" borderId="3" xfId="0" applyNumberFormat="1" applyFont="1" applyFill="1" applyBorder="1" applyAlignment="1" applyProtection="1">
      <alignment horizontal="center" vertical="center"/>
      <protection hidden="1"/>
    </xf>
    <xf numFmtId="165" fontId="82" fillId="5" borderId="7" xfId="0" applyNumberFormat="1" applyFont="1" applyFill="1" applyBorder="1" applyAlignment="1" applyProtection="1">
      <alignment horizontal="center" vertical="center"/>
      <protection hidden="1"/>
    </xf>
    <xf numFmtId="165" fontId="82" fillId="5" borderId="8" xfId="0" applyNumberFormat="1" applyFont="1" applyFill="1" applyBorder="1" applyAlignment="1" applyProtection="1">
      <alignment horizontal="center" vertical="center"/>
      <protection hidden="1"/>
    </xf>
    <xf numFmtId="0" fontId="44" fillId="13" borderId="3" xfId="0" applyFont="1" applyFill="1" applyBorder="1" applyAlignment="1" applyProtection="1">
      <alignment horizontal="left" vertical="center"/>
      <protection locked="0"/>
    </xf>
    <xf numFmtId="0" fontId="83" fillId="13" borderId="7" xfId="0" applyFont="1" applyFill="1" applyBorder="1" applyAlignment="1" applyProtection="1">
      <alignment horizontal="left" vertical="center"/>
      <protection locked="0"/>
    </xf>
    <xf numFmtId="0" fontId="83" fillId="13" borderId="8" xfId="0" applyFont="1" applyFill="1" applyBorder="1" applyAlignment="1" applyProtection="1">
      <alignment horizontal="left" vertical="center"/>
      <protection locked="0"/>
    </xf>
    <xf numFmtId="0" fontId="107" fillId="0" borderId="11" xfId="1" applyFont="1" applyBorder="1" applyAlignment="1" applyProtection="1">
      <alignment horizontal="right" vertical="center"/>
      <protection hidden="1"/>
    </xf>
    <xf numFmtId="0" fontId="107" fillId="0" borderId="16" xfId="1" applyFont="1" applyBorder="1" applyAlignment="1" applyProtection="1">
      <alignment horizontal="right" vertical="center"/>
      <protection hidden="1"/>
    </xf>
    <xf numFmtId="0" fontId="88" fillId="0" borderId="10" xfId="0" applyFont="1" applyBorder="1" applyAlignment="1" applyProtection="1">
      <alignment horizontal="right" vertical="center"/>
      <protection hidden="1"/>
    </xf>
    <xf numFmtId="0" fontId="88" fillId="0" borderId="13" xfId="0" applyFont="1" applyBorder="1" applyAlignment="1" applyProtection="1">
      <alignment horizontal="right" vertical="center"/>
      <protection hidden="1"/>
    </xf>
    <xf numFmtId="0" fontId="88" fillId="0" borderId="45" xfId="0" applyFont="1" applyBorder="1" applyAlignment="1" applyProtection="1">
      <alignment horizontal="right" vertical="center"/>
      <protection hidden="1"/>
    </xf>
    <xf numFmtId="0" fontId="88" fillId="0" borderId="17" xfId="0" applyFont="1" applyBorder="1" applyAlignment="1" applyProtection="1">
      <alignment horizontal="right" vertical="center"/>
      <protection hidden="1"/>
    </xf>
    <xf numFmtId="0" fontId="88" fillId="0" borderId="0" xfId="0" applyFont="1" applyAlignment="1" applyProtection="1">
      <alignment horizontal="right" vertical="center"/>
      <protection hidden="1"/>
    </xf>
    <xf numFmtId="0" fontId="88" fillId="0" borderId="18" xfId="0" applyFont="1" applyBorder="1" applyAlignment="1" applyProtection="1">
      <alignment horizontal="right" vertical="center"/>
      <protection hidden="1"/>
    </xf>
    <xf numFmtId="0" fontId="93" fillId="0" borderId="18" xfId="0" applyFont="1" applyBorder="1" applyAlignment="1" applyProtection="1">
      <alignment horizontal="center" vertical="center" wrapText="1"/>
      <protection hidden="1"/>
    </xf>
    <xf numFmtId="0" fontId="88" fillId="0" borderId="11" xfId="0" applyFont="1" applyBorder="1" applyAlignment="1" applyProtection="1">
      <alignment horizontal="right" vertical="center"/>
      <protection hidden="1"/>
    </xf>
    <xf numFmtId="0" fontId="88" fillId="0" borderId="16" xfId="0" applyFont="1" applyBorder="1" applyAlignment="1" applyProtection="1">
      <alignment horizontal="right" vertical="center"/>
      <protection hidden="1"/>
    </xf>
    <xf numFmtId="0" fontId="88" fillId="0" borderId="71" xfId="0" applyFont="1" applyBorder="1" applyAlignment="1" applyProtection="1">
      <alignment horizontal="right" vertical="center"/>
      <protection hidden="1"/>
    </xf>
    <xf numFmtId="0" fontId="90" fillId="0" borderId="13" xfId="0" applyFont="1" applyBorder="1" applyAlignment="1" applyProtection="1">
      <alignment horizontal="right" vertical="center"/>
      <protection hidden="1"/>
    </xf>
    <xf numFmtId="0" fontId="90" fillId="0" borderId="45" xfId="0" applyFont="1" applyBorder="1" applyAlignment="1" applyProtection="1">
      <alignment horizontal="right" vertical="center"/>
      <protection hidden="1"/>
    </xf>
    <xf numFmtId="0" fontId="90" fillId="0" borderId="0" xfId="0" applyFont="1" applyAlignment="1" applyProtection="1">
      <alignment horizontal="right" vertical="center"/>
      <protection hidden="1"/>
    </xf>
    <xf numFmtId="0" fontId="90" fillId="0" borderId="18" xfId="0" applyFont="1" applyBorder="1" applyAlignment="1" applyProtection="1">
      <alignment horizontal="right" vertical="center"/>
      <protection hidden="1"/>
    </xf>
    <xf numFmtId="1" fontId="88" fillId="0" borderId="3" xfId="0" applyNumberFormat="1" applyFont="1" applyBorder="1" applyAlignment="1" applyProtection="1">
      <alignment horizontal="right" vertical="center"/>
      <protection hidden="1"/>
    </xf>
    <xf numFmtId="1" fontId="88" fillId="0" borderId="8" xfId="0" applyNumberFormat="1" applyFont="1" applyBorder="1" applyAlignment="1" applyProtection="1">
      <alignment horizontal="right" vertical="center"/>
      <protection hidden="1"/>
    </xf>
    <xf numFmtId="2" fontId="88" fillId="0" borderId="3" xfId="0" applyNumberFormat="1" applyFont="1" applyBorder="1" applyAlignment="1" applyProtection="1">
      <alignment horizontal="right" vertical="center"/>
      <protection hidden="1"/>
    </xf>
    <xf numFmtId="2" fontId="88" fillId="0" borderId="8" xfId="0" applyNumberFormat="1" applyFont="1" applyBorder="1" applyAlignment="1" applyProtection="1">
      <alignment horizontal="right" vertical="center"/>
      <protection hidden="1"/>
    </xf>
    <xf numFmtId="0" fontId="84" fillId="0" borderId="13" xfId="0" applyFont="1" applyBorder="1" applyAlignment="1">
      <alignment horizontal="left" vertical="center"/>
    </xf>
    <xf numFmtId="0" fontId="87" fillId="0" borderId="0" xfId="0" applyFont="1" applyAlignment="1" applyProtection="1">
      <alignment horizontal="center" vertical="center" wrapText="1"/>
      <protection hidden="1"/>
    </xf>
    <xf numFmtId="2" fontId="11" fillId="6" borderId="87" xfId="0" applyNumberFormat="1" applyFont="1" applyFill="1" applyBorder="1" applyAlignment="1">
      <alignment horizontal="center" vertical="center"/>
    </xf>
    <xf numFmtId="2" fontId="11" fillId="6" borderId="88" xfId="0" applyNumberFormat="1" applyFont="1" applyFill="1" applyBorder="1" applyAlignment="1">
      <alignment horizontal="center" vertical="center"/>
    </xf>
    <xf numFmtId="2" fontId="11" fillId="6" borderId="89" xfId="0" applyNumberFormat="1" applyFont="1" applyFill="1" applyBorder="1" applyAlignment="1">
      <alignment horizontal="center" vertical="center"/>
    </xf>
    <xf numFmtId="2" fontId="11" fillId="6" borderId="77" xfId="0" applyNumberFormat="1" applyFont="1" applyFill="1" applyBorder="1" applyAlignment="1" applyProtection="1">
      <alignment horizontal="center" vertical="center"/>
      <protection hidden="1"/>
    </xf>
    <xf numFmtId="2" fontId="7" fillId="7" borderId="54" xfId="0" applyNumberFormat="1" applyFont="1" applyFill="1" applyBorder="1" applyAlignment="1">
      <alignment horizontal="center" wrapText="1"/>
    </xf>
    <xf numFmtId="2" fontId="11" fillId="6" borderId="56" xfId="0" applyNumberFormat="1" applyFont="1" applyFill="1" applyBorder="1" applyAlignment="1">
      <alignment horizontal="center" vertical="center"/>
    </xf>
    <xf numFmtId="2" fontId="11" fillId="6" borderId="48" xfId="0" applyNumberFormat="1" applyFont="1" applyFill="1" applyBorder="1" applyAlignment="1">
      <alignment horizontal="center" vertical="center"/>
    </xf>
    <xf numFmtId="0" fontId="7" fillId="16" borderId="3" xfId="0" applyFont="1" applyFill="1" applyBorder="1" applyAlignment="1" applyProtection="1">
      <alignment horizontal="center" vertical="center" wrapText="1"/>
      <protection hidden="1"/>
    </xf>
    <xf numFmtId="0" fontId="7" fillId="16" borderId="7" xfId="0" applyFont="1" applyFill="1" applyBorder="1" applyAlignment="1" applyProtection="1">
      <alignment horizontal="center" vertical="center" wrapText="1"/>
      <protection hidden="1"/>
    </xf>
    <xf numFmtId="0" fontId="7" fillId="16" borderId="8" xfId="0" applyFont="1" applyFill="1" applyBorder="1" applyAlignment="1" applyProtection="1">
      <alignment horizontal="center" vertical="center" wrapText="1"/>
      <protection hidden="1"/>
    </xf>
    <xf numFmtId="165" fontId="7" fillId="6" borderId="74" xfId="0" applyNumberFormat="1" applyFont="1" applyFill="1" applyBorder="1" applyAlignment="1">
      <alignment horizontal="center" vertical="center"/>
    </xf>
    <xf numFmtId="0" fontId="7" fillId="0" borderId="66" xfId="0" applyFont="1" applyBorder="1" applyAlignment="1">
      <alignment horizontal="left" wrapText="1"/>
    </xf>
    <xf numFmtId="0" fontId="7" fillId="0" borderId="0" xfId="0" applyFont="1" applyAlignment="1">
      <alignment horizontal="left" wrapText="1"/>
    </xf>
    <xf numFmtId="2" fontId="11" fillId="6" borderId="75" xfId="0" applyNumberFormat="1" applyFont="1" applyFill="1" applyBorder="1" applyAlignment="1">
      <alignment horizontal="center" vertical="center"/>
    </xf>
    <xf numFmtId="1" fontId="7" fillId="13" borderId="3" xfId="0" applyNumberFormat="1" applyFont="1" applyFill="1" applyBorder="1" applyAlignment="1" applyProtection="1">
      <alignment horizontal="left" vertical="center"/>
      <protection locked="0"/>
    </xf>
    <xf numFmtId="1" fontId="7" fillId="13" borderId="7" xfId="0" applyNumberFormat="1" applyFont="1" applyFill="1" applyBorder="1" applyAlignment="1" applyProtection="1">
      <alignment horizontal="left" vertical="center"/>
      <protection locked="0"/>
    </xf>
    <xf numFmtId="1" fontId="7" fillId="13" borderId="8" xfId="0" applyNumberFormat="1" applyFont="1" applyFill="1" applyBorder="1" applyAlignment="1" applyProtection="1">
      <alignment horizontal="left" vertical="center"/>
      <protection locked="0"/>
    </xf>
    <xf numFmtId="165" fontId="11" fillId="0" borderId="77" xfId="0" applyNumberFormat="1" applyFont="1" applyBorder="1" applyAlignment="1" applyProtection="1">
      <alignment horizontal="center" vertical="center"/>
      <protection hidden="1"/>
    </xf>
    <xf numFmtId="0" fontId="1" fillId="22" borderId="3" xfId="0" applyFont="1" applyFill="1" applyBorder="1" applyAlignment="1" applyProtection="1">
      <alignment horizontal="left" vertical="center"/>
      <protection locked="0" hidden="1"/>
    </xf>
    <xf numFmtId="0" fontId="1" fillId="22" borderId="8" xfId="0" applyFont="1" applyFill="1" applyBorder="1" applyAlignment="1" applyProtection="1">
      <alignment horizontal="left" vertical="center"/>
      <protection locked="0" hidden="1"/>
    </xf>
    <xf numFmtId="0" fontId="11" fillId="7" borderId="84" xfId="0" applyFont="1" applyFill="1" applyBorder="1" applyAlignment="1">
      <alignment horizontal="center" vertical="center" wrapText="1"/>
    </xf>
    <xf numFmtId="0" fontId="11" fillId="0" borderId="50" xfId="0" applyFont="1" applyBorder="1" applyAlignment="1" applyProtection="1">
      <alignment horizontal="right" vertical="center" wrapText="1"/>
      <protection hidden="1"/>
    </xf>
    <xf numFmtId="0" fontId="11" fillId="0" borderId="90" xfId="0" applyFont="1" applyBorder="1" applyAlignment="1" applyProtection="1">
      <alignment horizontal="right" vertical="center" wrapText="1"/>
      <protection hidden="1"/>
    </xf>
    <xf numFmtId="0" fontId="7" fillId="0" borderId="66" xfId="0" applyFont="1" applyBorder="1" applyAlignment="1" applyProtection="1">
      <alignment horizontal="right" vertical="center" wrapText="1"/>
      <protection hidden="1"/>
    </xf>
    <xf numFmtId="0" fontId="7" fillId="0" borderId="0" xfId="0" applyFont="1" applyAlignment="1" applyProtection="1">
      <alignment horizontal="right" vertical="center" wrapText="1"/>
      <protection hidden="1"/>
    </xf>
    <xf numFmtId="0" fontId="7" fillId="0" borderId="18" xfId="0" applyFont="1" applyBorder="1" applyAlignment="1" applyProtection="1">
      <alignment horizontal="right" vertical="center" wrapText="1"/>
      <protection hidden="1"/>
    </xf>
    <xf numFmtId="0" fontId="7" fillId="0" borderId="0" xfId="0" applyFont="1" applyAlignment="1" applyProtection="1">
      <alignment horizontal="left" vertical="top" wrapText="1"/>
      <protection hidden="1"/>
    </xf>
    <xf numFmtId="0" fontId="7" fillId="0" borderId="0" xfId="0" applyFont="1" applyAlignment="1" applyProtection="1">
      <alignment horizontal="center" vertical="center"/>
      <protection hidden="1"/>
    </xf>
    <xf numFmtId="0" fontId="7" fillId="0" borderId="91" xfId="0" applyFont="1" applyBorder="1" applyAlignment="1" applyProtection="1">
      <alignment horizontal="center" wrapText="1"/>
      <protection hidden="1"/>
    </xf>
    <xf numFmtId="0" fontId="7" fillId="0" borderId="92" xfId="0" applyFont="1" applyBorder="1" applyAlignment="1" applyProtection="1">
      <alignment horizontal="center" wrapText="1"/>
      <protection hidden="1"/>
    </xf>
    <xf numFmtId="0" fontId="7" fillId="0" borderId="93" xfId="0" applyFont="1" applyBorder="1" applyAlignment="1" applyProtection="1">
      <alignment horizontal="center" wrapText="1"/>
      <protection hidden="1"/>
    </xf>
    <xf numFmtId="165" fontId="7" fillId="5" borderId="3" xfId="0" applyNumberFormat="1" applyFont="1" applyFill="1" applyBorder="1" applyAlignment="1" applyProtection="1">
      <alignment horizontal="left" vertical="center"/>
      <protection hidden="1"/>
    </xf>
    <xf numFmtId="165" fontId="7" fillId="5" borderId="7" xfId="0" applyNumberFormat="1" applyFont="1" applyFill="1" applyBorder="1" applyAlignment="1" applyProtection="1">
      <alignment horizontal="left" vertical="center"/>
      <protection hidden="1"/>
    </xf>
    <xf numFmtId="165" fontId="7" fillId="5" borderId="8" xfId="0" applyNumberFormat="1" applyFont="1" applyFill="1" applyBorder="1" applyAlignment="1" applyProtection="1">
      <alignment horizontal="left" vertical="center"/>
      <protection hidden="1"/>
    </xf>
    <xf numFmtId="0" fontId="1" fillId="7" borderId="75" xfId="0" applyFont="1" applyFill="1" applyBorder="1" applyAlignment="1">
      <alignment horizontal="center" vertical="center"/>
    </xf>
    <xf numFmtId="0" fontId="11" fillId="0" borderId="0" xfId="0" applyFont="1" applyAlignment="1" applyProtection="1">
      <alignment horizontal="center" wrapText="1"/>
      <protection hidden="1"/>
    </xf>
    <xf numFmtId="165" fontId="7" fillId="0" borderId="0" xfId="0" applyNumberFormat="1" applyFont="1" applyAlignment="1" applyProtection="1">
      <alignment horizontal="center" vertical="center"/>
      <protection hidden="1"/>
    </xf>
    <xf numFmtId="165" fontId="11" fillId="0" borderId="86" xfId="0" applyNumberFormat="1" applyFont="1" applyBorder="1" applyAlignment="1">
      <alignment horizontal="center" vertical="center"/>
    </xf>
    <xf numFmtId="165" fontId="11" fillId="0" borderId="79" xfId="0" applyNumberFormat="1" applyFont="1" applyBorder="1" applyAlignment="1">
      <alignment horizontal="center" vertical="center"/>
    </xf>
    <xf numFmtId="2" fontId="11" fillId="0" borderId="0" xfId="0" applyNumberFormat="1" applyFont="1" applyAlignment="1" applyProtection="1">
      <alignment horizontal="left" vertical="center"/>
      <protection hidden="1"/>
    </xf>
    <xf numFmtId="2" fontId="7" fillId="7" borderId="7" xfId="0" applyNumberFormat="1" applyFont="1" applyFill="1" applyBorder="1" applyAlignment="1" applyProtection="1">
      <alignment horizontal="center" wrapText="1"/>
      <protection hidden="1"/>
    </xf>
    <xf numFmtId="0" fontId="11" fillId="0" borderId="0" xfId="0" applyFont="1" applyAlignment="1" applyProtection="1">
      <alignment horizontal="right" vertical="center"/>
      <protection hidden="1"/>
    </xf>
    <xf numFmtId="0" fontId="46" fillId="0" borderId="3" xfId="0" applyFont="1" applyBorder="1" applyAlignment="1" applyProtection="1">
      <alignment horizontal="left" vertical="center" wrapText="1"/>
      <protection hidden="1"/>
    </xf>
    <xf numFmtId="0" fontId="45" fillId="0" borderId="7" xfId="0" applyFont="1" applyBorder="1" applyAlignment="1" applyProtection="1">
      <alignment horizontal="left" vertical="center" wrapText="1"/>
      <protection hidden="1"/>
    </xf>
    <xf numFmtId="0" fontId="45" fillId="0" borderId="48" xfId="0" applyFont="1" applyBorder="1" applyAlignment="1" applyProtection="1">
      <alignment horizontal="left" vertical="center" wrapText="1"/>
      <protection hidden="1"/>
    </xf>
    <xf numFmtId="0" fontId="11" fillId="0" borderId="18" xfId="0" applyFont="1" applyBorder="1" applyAlignment="1" applyProtection="1">
      <alignment horizontal="right" vertical="center"/>
      <protection hidden="1"/>
    </xf>
    <xf numFmtId="0" fontId="38" fillId="5" borderId="3" xfId="0" applyFont="1" applyFill="1" applyBorder="1" applyAlignment="1" applyProtection="1">
      <alignment horizontal="left" vertical="center"/>
      <protection hidden="1"/>
    </xf>
    <xf numFmtId="0" fontId="38" fillId="5" borderId="8" xfId="0" applyFont="1" applyFill="1" applyBorder="1" applyAlignment="1" applyProtection="1">
      <alignment horizontal="left" vertical="center"/>
      <protection hidden="1"/>
    </xf>
    <xf numFmtId="2" fontId="11" fillId="6" borderId="74" xfId="0" applyNumberFormat="1" applyFont="1" applyFill="1" applyBorder="1" applyAlignment="1">
      <alignment horizontal="center" vertical="center"/>
    </xf>
    <xf numFmtId="0" fontId="9" fillId="0" borderId="16" xfId="0" applyFont="1" applyBorder="1" applyAlignment="1" applyProtection="1">
      <alignment horizontal="left" vertical="center"/>
      <protection hidden="1"/>
    </xf>
    <xf numFmtId="0" fontId="39" fillId="0" borderId="16" xfId="0" applyFont="1" applyBorder="1" applyAlignment="1" applyProtection="1">
      <alignment horizontal="center" vertical="center"/>
      <protection hidden="1"/>
    </xf>
    <xf numFmtId="0" fontId="7" fillId="0" borderId="3" xfId="0" applyFont="1" applyBorder="1" applyAlignment="1" applyProtection="1">
      <alignment horizontal="left" vertical="center" wrapText="1"/>
      <protection hidden="1"/>
    </xf>
    <xf numFmtId="0" fontId="7" fillId="0" borderId="7" xfId="0" applyFont="1" applyBorder="1" applyAlignment="1" applyProtection="1">
      <alignment horizontal="left" vertical="center" wrapText="1"/>
      <protection hidden="1"/>
    </xf>
    <xf numFmtId="0" fontId="7" fillId="24" borderId="17" xfId="0" applyFont="1" applyFill="1" applyBorder="1" applyAlignment="1" applyProtection="1">
      <alignment horizontal="center" vertical="center"/>
      <protection hidden="1"/>
    </xf>
    <xf numFmtId="0" fontId="7" fillId="24" borderId="0" xfId="0" applyFont="1" applyFill="1" applyAlignment="1" applyProtection="1">
      <alignment horizontal="center" vertical="center"/>
      <protection hidden="1"/>
    </xf>
    <xf numFmtId="0" fontId="7" fillId="25" borderId="17" xfId="0" applyFont="1" applyFill="1" applyBorder="1" applyAlignment="1" applyProtection="1">
      <alignment horizontal="center" vertical="center"/>
      <protection hidden="1"/>
    </xf>
    <xf numFmtId="0" fontId="7" fillId="25" borderId="0" xfId="0" applyFont="1" applyFill="1" applyAlignment="1" applyProtection="1">
      <alignment horizontal="center" vertical="center"/>
      <protection hidden="1"/>
    </xf>
    <xf numFmtId="0" fontId="103" fillId="26" borderId="17" xfId="0" applyFont="1" applyFill="1" applyBorder="1" applyAlignment="1" applyProtection="1">
      <alignment horizontal="center" vertical="center"/>
      <protection hidden="1"/>
    </xf>
    <xf numFmtId="0" fontId="103" fillId="26" borderId="0" xfId="0" applyFont="1" applyFill="1" applyAlignment="1" applyProtection="1">
      <alignment horizontal="center" vertical="center"/>
      <protection hidden="1"/>
    </xf>
    <xf numFmtId="1" fontId="7" fillId="13" borderId="10" xfId="0" applyNumberFormat="1" applyFont="1" applyFill="1" applyBorder="1" applyAlignment="1" applyProtection="1">
      <alignment horizontal="center" vertical="center" wrapText="1"/>
      <protection locked="0"/>
    </xf>
    <xf numFmtId="1" fontId="7" fillId="13" borderId="13" xfId="0" applyNumberFormat="1" applyFont="1" applyFill="1" applyBorder="1" applyAlignment="1" applyProtection="1">
      <alignment horizontal="center" vertical="center" wrapText="1"/>
      <protection locked="0"/>
    </xf>
    <xf numFmtId="1" fontId="7" fillId="13" borderId="45" xfId="0" applyNumberFormat="1" applyFont="1" applyFill="1" applyBorder="1" applyAlignment="1" applyProtection="1">
      <alignment horizontal="center" vertical="center" wrapText="1"/>
      <protection locked="0"/>
    </xf>
    <xf numFmtId="1" fontId="7" fillId="13" borderId="17" xfId="0" applyNumberFormat="1" applyFont="1" applyFill="1" applyBorder="1" applyAlignment="1" applyProtection="1">
      <alignment horizontal="center" vertical="center" wrapText="1"/>
      <protection locked="0"/>
    </xf>
    <xf numFmtId="1" fontId="7" fillId="13" borderId="0" xfId="0" applyNumberFormat="1" applyFont="1" applyFill="1" applyAlignment="1" applyProtection="1">
      <alignment horizontal="center" vertical="center" wrapText="1"/>
      <protection locked="0"/>
    </xf>
    <xf numFmtId="1" fontId="7" fillId="13" borderId="18" xfId="0" applyNumberFormat="1" applyFont="1" applyFill="1" applyBorder="1" applyAlignment="1" applyProtection="1">
      <alignment horizontal="center" vertical="center" wrapText="1"/>
      <protection locked="0"/>
    </xf>
    <xf numFmtId="1" fontId="7" fillId="13" borderId="11" xfId="0" applyNumberFormat="1" applyFont="1" applyFill="1" applyBorder="1" applyAlignment="1" applyProtection="1">
      <alignment horizontal="center" vertical="center" wrapText="1"/>
      <protection locked="0"/>
    </xf>
    <xf numFmtId="1" fontId="7" fillId="13" borderId="16" xfId="0" applyNumberFormat="1" applyFont="1" applyFill="1" applyBorder="1" applyAlignment="1" applyProtection="1">
      <alignment horizontal="center" vertical="center" wrapText="1"/>
      <protection locked="0"/>
    </xf>
    <xf numFmtId="1" fontId="7" fillId="13" borderId="71" xfId="0" applyNumberFormat="1" applyFont="1" applyFill="1" applyBorder="1" applyAlignment="1" applyProtection="1">
      <alignment horizontal="center" vertical="center" wrapText="1"/>
      <protection locked="0"/>
    </xf>
    <xf numFmtId="0" fontId="7" fillId="0" borderId="16" xfId="0" applyFont="1" applyBorder="1" applyAlignment="1">
      <alignment horizontal="left" wrapText="1"/>
    </xf>
    <xf numFmtId="0" fontId="38" fillId="5" borderId="3" xfId="0" applyFont="1" applyFill="1" applyBorder="1" applyAlignment="1" applyProtection="1">
      <alignment horizontal="left"/>
      <protection hidden="1"/>
    </xf>
    <xf numFmtId="0" fontId="38" fillId="5" borderId="8" xfId="0" applyFont="1" applyFill="1" applyBorder="1" applyAlignment="1" applyProtection="1">
      <alignment horizontal="left"/>
      <protection hidden="1"/>
    </xf>
    <xf numFmtId="0" fontId="46" fillId="0" borderId="16" xfId="0" applyFont="1" applyBorder="1" applyAlignment="1" applyProtection="1">
      <alignment horizontal="left" vertical="center" wrapText="1"/>
      <protection hidden="1"/>
    </xf>
    <xf numFmtId="0" fontId="46" fillId="0" borderId="78" xfId="0" applyFont="1" applyBorder="1" applyAlignment="1" applyProtection="1">
      <alignment horizontal="left" vertical="center" wrapText="1"/>
      <protection hidden="1"/>
    </xf>
    <xf numFmtId="0" fontId="7" fillId="0" borderId="0" xfId="0" applyFont="1" applyAlignment="1" applyProtection="1">
      <alignment horizontal="center" wrapText="1"/>
      <protection hidden="1"/>
    </xf>
    <xf numFmtId="0" fontId="7" fillId="0" borderId="0" xfId="0" applyFont="1" applyAlignment="1" applyProtection="1">
      <alignment horizontal="left" vertical="center" wrapText="1"/>
      <protection hidden="1"/>
    </xf>
    <xf numFmtId="0" fontId="1" fillId="0" borderId="81" xfId="0" applyFont="1" applyBorder="1" applyAlignment="1" applyProtection="1">
      <alignment horizontal="center" vertical="center" wrapText="1"/>
      <protection hidden="1"/>
    </xf>
    <xf numFmtId="0" fontId="0" fillId="0" borderId="82" xfId="0" applyBorder="1"/>
    <xf numFmtId="0" fontId="0" fillId="0" borderId="83" xfId="0" applyBorder="1"/>
    <xf numFmtId="0" fontId="0" fillId="0" borderId="78" xfId="0" applyBorder="1"/>
    <xf numFmtId="0" fontId="7" fillId="16" borderId="14" xfId="0" applyFont="1" applyFill="1" applyBorder="1" applyAlignment="1" applyProtection="1">
      <alignment horizontal="center" wrapText="1"/>
      <protection hidden="1"/>
    </xf>
    <xf numFmtId="0" fontId="7" fillId="16" borderId="4" xfId="0" applyFont="1" applyFill="1" applyBorder="1" applyAlignment="1" applyProtection="1">
      <alignment horizontal="center" wrapText="1"/>
      <protection hidden="1"/>
    </xf>
    <xf numFmtId="165" fontId="11" fillId="0" borderId="75" xfId="0" applyNumberFormat="1" applyFont="1" applyBorder="1" applyAlignment="1" applyProtection="1">
      <alignment horizontal="center" vertical="center"/>
      <protection hidden="1"/>
    </xf>
    <xf numFmtId="165" fontId="11" fillId="0" borderId="80" xfId="0" applyNumberFormat="1" applyFont="1" applyBorder="1" applyAlignment="1">
      <alignment horizontal="center" vertical="center"/>
    </xf>
    <xf numFmtId="0" fontId="7" fillId="7" borderId="54" xfId="0" applyFont="1" applyFill="1" applyBorder="1" applyAlignment="1">
      <alignment horizontal="left" wrapText="1"/>
    </xf>
    <xf numFmtId="0" fontId="44" fillId="10" borderId="3" xfId="0" applyFont="1" applyFill="1" applyBorder="1" applyAlignment="1" applyProtection="1">
      <alignment horizontal="left" vertical="center"/>
      <protection hidden="1"/>
    </xf>
    <xf numFmtId="0" fontId="44" fillId="10" borderId="16" xfId="0" applyFont="1" applyFill="1" applyBorder="1" applyAlignment="1" applyProtection="1">
      <alignment horizontal="left" vertical="center"/>
      <protection hidden="1"/>
    </xf>
    <xf numFmtId="0" fontId="44" fillId="10" borderId="7" xfId="0" applyFont="1" applyFill="1" applyBorder="1" applyAlignment="1" applyProtection="1">
      <alignment horizontal="left" vertical="center"/>
      <protection hidden="1"/>
    </xf>
    <xf numFmtId="0" fontId="44" fillId="10" borderId="8" xfId="0" applyFont="1" applyFill="1" applyBorder="1" applyAlignment="1" applyProtection="1">
      <alignment horizontal="left" vertical="center"/>
      <protection hidden="1"/>
    </xf>
    <xf numFmtId="2" fontId="11" fillId="6" borderId="75" xfId="0" applyNumberFormat="1" applyFont="1" applyFill="1" applyBorder="1" applyAlignment="1" applyProtection="1">
      <alignment horizontal="center" vertical="center"/>
      <protection hidden="1"/>
    </xf>
    <xf numFmtId="2" fontId="11" fillId="6" borderId="73" xfId="0" applyNumberFormat="1" applyFont="1" applyFill="1" applyBorder="1" applyAlignment="1">
      <alignment horizontal="center" vertical="center"/>
    </xf>
    <xf numFmtId="2" fontId="11" fillId="6" borderId="46" xfId="0" applyNumberFormat="1" applyFont="1" applyFill="1" applyBorder="1" applyAlignment="1">
      <alignment horizontal="center" vertical="center"/>
    </xf>
    <xf numFmtId="0" fontId="50" fillId="9" borderId="7" xfId="0" applyFont="1" applyFill="1" applyBorder="1" applyAlignment="1">
      <alignment horizontal="left" vertical="center"/>
    </xf>
    <xf numFmtId="0" fontId="1" fillId="0" borderId="38" xfId="0" applyFont="1" applyBorder="1" applyAlignment="1" applyProtection="1">
      <alignment horizontal="center" vertical="center"/>
      <protection hidden="1"/>
    </xf>
    <xf numFmtId="0" fontId="0" fillId="0" borderId="29" xfId="0" applyBorder="1"/>
    <xf numFmtId="0" fontId="0" fillId="0" borderId="85" xfId="0" applyBorder="1"/>
    <xf numFmtId="0" fontId="103" fillId="23" borderId="11" xfId="0" applyFont="1" applyFill="1" applyBorder="1" applyAlignment="1" applyProtection="1">
      <alignment horizontal="center" vertical="center"/>
      <protection hidden="1"/>
    </xf>
    <xf numFmtId="0" fontId="103" fillId="23" borderId="16" xfId="0" applyFont="1" applyFill="1" applyBorder="1" applyAlignment="1" applyProtection="1">
      <alignment horizontal="center" vertical="center"/>
      <protection hidden="1"/>
    </xf>
    <xf numFmtId="0" fontId="7" fillId="7" borderId="7" xfId="0" applyFont="1" applyFill="1" applyBorder="1" applyAlignment="1">
      <alignment horizontal="left" wrapText="1"/>
    </xf>
    <xf numFmtId="165" fontId="11" fillId="0" borderId="42" xfId="0" applyNumberFormat="1" applyFont="1" applyBorder="1" applyAlignment="1" applyProtection="1">
      <alignment horizontal="center" vertical="center"/>
      <protection hidden="1"/>
    </xf>
    <xf numFmtId="2" fontId="7" fillId="7" borderId="7" xfId="0" applyNumberFormat="1" applyFont="1" applyFill="1" applyBorder="1" applyAlignment="1">
      <alignment horizontal="right" wrapText="1"/>
    </xf>
    <xf numFmtId="2" fontId="7" fillId="7" borderId="48" xfId="0" applyNumberFormat="1" applyFont="1" applyFill="1" applyBorder="1" applyAlignment="1">
      <alignment horizontal="right" wrapText="1"/>
    </xf>
    <xf numFmtId="2" fontId="11" fillId="6" borderId="76" xfId="0" applyNumberFormat="1" applyFont="1" applyFill="1" applyBorder="1" applyAlignment="1" applyProtection="1">
      <alignment horizontal="center" vertical="center"/>
      <protection hidden="1"/>
    </xf>
    <xf numFmtId="0" fontId="7" fillId="5" borderId="3" xfId="0" applyFont="1" applyFill="1" applyBorder="1" applyAlignment="1" applyProtection="1">
      <alignment horizontal="center" wrapText="1"/>
      <protection hidden="1"/>
    </xf>
    <xf numFmtId="0" fontId="7" fillId="5" borderId="7" xfId="0" applyFont="1" applyFill="1" applyBorder="1" applyAlignment="1" applyProtection="1">
      <alignment horizontal="center" wrapText="1"/>
      <protection hidden="1"/>
    </xf>
    <xf numFmtId="0" fontId="7" fillId="5" borderId="8" xfId="0" applyFont="1" applyFill="1" applyBorder="1" applyAlignment="1" applyProtection="1">
      <alignment horizontal="center" wrapText="1"/>
      <protection hidden="1"/>
    </xf>
    <xf numFmtId="0" fontId="7" fillId="0" borderId="0" xfId="0" applyFont="1" applyAlignment="1" applyProtection="1">
      <alignment horizontal="left" wrapText="1"/>
      <protection hidden="1"/>
    </xf>
    <xf numFmtId="2" fontId="7" fillId="7" borderId="7" xfId="0" applyNumberFormat="1" applyFont="1" applyFill="1" applyBorder="1" applyAlignment="1" applyProtection="1">
      <alignment horizontal="right" wrapText="1"/>
      <protection hidden="1"/>
    </xf>
    <xf numFmtId="2" fontId="7" fillId="7" borderId="48" xfId="0" applyNumberFormat="1" applyFont="1" applyFill="1" applyBorder="1" applyAlignment="1" applyProtection="1">
      <alignment horizontal="right" wrapText="1"/>
      <protection hidden="1"/>
    </xf>
    <xf numFmtId="165" fontId="11" fillId="0" borderId="9" xfId="0" applyNumberFormat="1" applyFont="1" applyBorder="1" applyAlignment="1" applyProtection="1">
      <alignment horizontal="center" vertical="center"/>
      <protection hidden="1"/>
    </xf>
    <xf numFmtId="1" fontId="7" fillId="13" borderId="1" xfId="0" applyNumberFormat="1" applyFont="1" applyFill="1" applyBorder="1" applyAlignment="1" applyProtection="1">
      <alignment horizontal="left" vertical="center"/>
      <protection locked="0"/>
    </xf>
    <xf numFmtId="0" fontId="7" fillId="0" borderId="17" xfId="0" applyFont="1" applyBorder="1" applyAlignment="1" applyProtection="1">
      <alignment horizontal="center" wrapText="1"/>
      <protection hidden="1"/>
    </xf>
    <xf numFmtId="0" fontId="66" fillId="0" borderId="0" xfId="0" applyFont="1" applyAlignment="1" applyProtection="1">
      <alignment horizontal="left" vertical="center" wrapText="1"/>
      <protection hidden="1"/>
    </xf>
    <xf numFmtId="0" fontId="38" fillId="0" borderId="0" xfId="0" applyFont="1" applyAlignment="1" applyProtection="1">
      <alignment horizontal="center"/>
      <protection hidden="1"/>
    </xf>
    <xf numFmtId="0" fontId="12" fillId="0" borderId="0" xfId="0" applyFont="1" applyAlignment="1" applyProtection="1">
      <alignment horizontal="left" wrapText="1"/>
      <protection hidden="1"/>
    </xf>
    <xf numFmtId="0" fontId="27" fillId="0" borderId="83" xfId="0" applyFont="1" applyBorder="1" applyAlignment="1" applyProtection="1">
      <alignment horizontal="left" vertical="center"/>
      <protection hidden="1"/>
    </xf>
    <xf numFmtId="0" fontId="27" fillId="0" borderId="16" xfId="0" applyFont="1" applyBorder="1" applyAlignment="1" applyProtection="1">
      <alignment horizontal="left" vertical="center"/>
      <protection hidden="1"/>
    </xf>
    <xf numFmtId="0" fontId="27" fillId="0" borderId="71" xfId="0" applyFont="1" applyBorder="1" applyAlignment="1" applyProtection="1">
      <alignment horizontal="left" vertical="center"/>
      <protection hidden="1"/>
    </xf>
    <xf numFmtId="0" fontId="27" fillId="0" borderId="97" xfId="0" applyFont="1" applyBorder="1" applyAlignment="1" applyProtection="1">
      <alignment horizontal="left" vertical="center"/>
      <protection hidden="1"/>
    </xf>
    <xf numFmtId="0" fontId="27" fillId="0" borderId="50" xfId="0" applyFont="1" applyBorder="1" applyAlignment="1" applyProtection="1">
      <alignment horizontal="left" vertical="center"/>
      <protection hidden="1"/>
    </xf>
    <xf numFmtId="0" fontId="27" fillId="0" borderId="90" xfId="0" applyFont="1" applyBorder="1" applyAlignment="1" applyProtection="1">
      <alignment horizontal="left" vertical="center"/>
      <protection hidden="1"/>
    </xf>
    <xf numFmtId="1" fontId="109" fillId="0" borderId="0" xfId="0" applyNumberFormat="1" applyFont="1" applyAlignment="1" applyProtection="1">
      <alignment horizontal="center" vertical="center"/>
      <protection hidden="1"/>
    </xf>
    <xf numFmtId="165" fontId="1" fillId="0" borderId="60" xfId="0" applyNumberFormat="1" applyFont="1" applyBorder="1" applyAlignment="1">
      <alignment horizontal="center" vertical="center"/>
    </xf>
    <xf numFmtId="165" fontId="1" fillId="0" borderId="58" xfId="0" applyNumberFormat="1" applyFont="1" applyBorder="1" applyAlignment="1">
      <alignment horizontal="center" vertical="center"/>
    </xf>
    <xf numFmtId="165" fontId="1" fillId="0" borderId="59" xfId="0" applyNumberFormat="1" applyFont="1" applyBorder="1" applyAlignment="1">
      <alignment horizontal="center" vertical="center"/>
    </xf>
    <xf numFmtId="165" fontId="1" fillId="2" borderId="55" xfId="0" applyNumberFormat="1" applyFont="1" applyFill="1" applyBorder="1" applyAlignment="1">
      <alignment horizontal="center" vertical="center"/>
    </xf>
    <xf numFmtId="165" fontId="1" fillId="2" borderId="29" xfId="0" applyNumberFormat="1" applyFont="1" applyFill="1" applyBorder="1" applyAlignment="1">
      <alignment horizontal="center" vertical="center"/>
    </xf>
    <xf numFmtId="165" fontId="1" fillId="2" borderId="85" xfId="0" applyNumberFormat="1" applyFont="1" applyFill="1" applyBorder="1" applyAlignment="1">
      <alignment horizontal="center" vertical="center"/>
    </xf>
    <xf numFmtId="2" fontId="0" fillId="27" borderId="101" xfId="0" applyNumberFormat="1" applyFill="1" applyBorder="1" applyAlignment="1" applyProtection="1">
      <alignment horizontal="center" vertical="center"/>
      <protection hidden="1"/>
    </xf>
    <xf numFmtId="0" fontId="0" fillId="27" borderId="101" xfId="0" applyFill="1" applyBorder="1" applyAlignment="1" applyProtection="1">
      <alignment horizontal="center" vertical="center"/>
      <protection hidden="1"/>
    </xf>
    <xf numFmtId="0" fontId="0" fillId="27" borderId="102" xfId="0" applyFill="1" applyBorder="1" applyAlignment="1" applyProtection="1">
      <alignment horizontal="center" vertical="center"/>
      <protection hidden="1"/>
    </xf>
    <xf numFmtId="165" fontId="1" fillId="2" borderId="3" xfId="0" applyNumberFormat="1" applyFont="1" applyFill="1" applyBorder="1" applyAlignment="1">
      <alignment horizontal="center" vertical="center"/>
    </xf>
    <xf numFmtId="165" fontId="1" fillId="2" borderId="7" xfId="0" applyNumberFormat="1" applyFont="1" applyFill="1" applyBorder="1" applyAlignment="1">
      <alignment horizontal="center" vertical="center"/>
    </xf>
    <xf numFmtId="165" fontId="1" fillId="2" borderId="48" xfId="0" applyNumberFormat="1" applyFont="1" applyFill="1" applyBorder="1" applyAlignment="1">
      <alignment horizontal="center" vertical="center"/>
    </xf>
    <xf numFmtId="165" fontId="1" fillId="0" borderId="55" xfId="0" applyNumberFormat="1" applyFont="1" applyBorder="1" applyAlignment="1">
      <alignment horizontal="center" vertical="center"/>
    </xf>
    <xf numFmtId="165" fontId="1" fillId="0" borderId="29" xfId="0" applyNumberFormat="1" applyFont="1" applyBorder="1" applyAlignment="1">
      <alignment horizontal="center" vertical="center"/>
    </xf>
    <xf numFmtId="165" fontId="1" fillId="0" borderId="85" xfId="0" applyNumberFormat="1" applyFont="1" applyBorder="1" applyAlignment="1">
      <alignment horizontal="center" vertical="center"/>
    </xf>
    <xf numFmtId="0" fontId="35" fillId="27" borderId="63" xfId="0" applyFont="1" applyFill="1" applyBorder="1" applyAlignment="1" applyProtection="1">
      <alignment horizontal="center" vertical="center" wrapText="1"/>
      <protection hidden="1"/>
    </xf>
    <xf numFmtId="0" fontId="35" fillId="27" borderId="33" xfId="0" applyFont="1" applyFill="1" applyBorder="1" applyAlignment="1" applyProtection="1">
      <alignment horizontal="center" vertical="center" wrapText="1"/>
      <protection hidden="1"/>
    </xf>
    <xf numFmtId="0" fontId="35" fillId="27" borderId="94" xfId="0" applyFont="1" applyFill="1" applyBorder="1" applyAlignment="1" applyProtection="1">
      <alignment horizontal="center" vertical="center" wrapText="1"/>
      <protection hidden="1"/>
    </xf>
    <xf numFmtId="165" fontId="1" fillId="2" borderId="49" xfId="0" applyNumberFormat="1" applyFont="1" applyFill="1" applyBorder="1" applyAlignment="1">
      <alignment horizontal="center" vertical="center"/>
    </xf>
    <xf numFmtId="165" fontId="1" fillId="2" borderId="50" xfId="0" applyNumberFormat="1" applyFont="1" applyFill="1" applyBorder="1" applyAlignment="1">
      <alignment horizontal="center" vertical="center"/>
    </xf>
    <xf numFmtId="165" fontId="1" fillId="2" borderId="90" xfId="0" applyNumberFormat="1" applyFont="1" applyFill="1" applyBorder="1" applyAlignment="1">
      <alignment horizontal="center" vertical="center"/>
    </xf>
    <xf numFmtId="165" fontId="1" fillId="2" borderId="8" xfId="0" applyNumberFormat="1" applyFont="1" applyFill="1" applyBorder="1" applyAlignment="1">
      <alignment horizontal="center" vertical="center"/>
    </xf>
    <xf numFmtId="0" fontId="27" fillId="0" borderId="56" xfId="0" applyFont="1" applyBorder="1" applyAlignment="1" applyProtection="1">
      <alignment horizontal="left" vertical="center"/>
      <protection hidden="1"/>
    </xf>
    <xf numFmtId="0" fontId="27" fillId="0" borderId="7" xfId="0" applyFont="1" applyBorder="1" applyAlignment="1" applyProtection="1">
      <alignment horizontal="left" vertical="center"/>
      <protection hidden="1"/>
    </xf>
    <xf numFmtId="0" fontId="27" fillId="0" borderId="8" xfId="0" applyFont="1" applyBorder="1" applyAlignment="1" applyProtection="1">
      <alignment horizontal="left" vertical="center"/>
      <protection hidden="1"/>
    </xf>
    <xf numFmtId="165" fontId="1" fillId="2" borderId="60" xfId="0" applyNumberFormat="1" applyFont="1" applyFill="1" applyBorder="1" applyAlignment="1">
      <alignment horizontal="center" vertical="center"/>
    </xf>
    <xf numFmtId="165" fontId="1" fillId="2" borderId="58" xfId="0" applyNumberFormat="1" applyFont="1" applyFill="1" applyBorder="1" applyAlignment="1">
      <alignment horizontal="center" vertical="center"/>
    </xf>
    <xf numFmtId="165" fontId="1" fillId="2" borderId="61" xfId="0" applyNumberFormat="1" applyFont="1" applyFill="1" applyBorder="1" applyAlignment="1">
      <alignment horizontal="center" vertical="center"/>
    </xf>
    <xf numFmtId="165" fontId="1" fillId="0" borderId="3" xfId="0" applyNumberFormat="1" applyFont="1" applyBorder="1" applyAlignment="1">
      <alignment horizontal="center" vertical="center"/>
    </xf>
    <xf numFmtId="165" fontId="1" fillId="0" borderId="7" xfId="0" applyNumberFormat="1" applyFont="1" applyBorder="1" applyAlignment="1">
      <alignment horizontal="center" vertical="center"/>
    </xf>
    <xf numFmtId="165" fontId="1" fillId="0" borderId="48" xfId="0" applyNumberFormat="1" applyFont="1" applyBorder="1" applyAlignment="1">
      <alignment horizontal="center" vertical="center"/>
    </xf>
    <xf numFmtId="2" fontId="36" fillId="11" borderId="3" xfId="0" applyNumberFormat="1" applyFont="1" applyFill="1" applyBorder="1" applyAlignment="1" applyProtection="1">
      <alignment horizontal="center" vertical="center" wrapText="1"/>
      <protection hidden="1"/>
    </xf>
    <xf numFmtId="0" fontId="36" fillId="11" borderId="8" xfId="0" applyFont="1" applyFill="1" applyBorder="1" applyAlignment="1" applyProtection="1">
      <alignment horizontal="center" vertical="center" wrapText="1"/>
      <protection hidden="1"/>
    </xf>
    <xf numFmtId="0" fontId="1" fillId="5" borderId="31" xfId="0" applyFont="1" applyFill="1" applyBorder="1" applyAlignment="1" applyProtection="1">
      <alignment horizontal="center" vertical="center" wrapText="1"/>
      <protection hidden="1"/>
    </xf>
    <xf numFmtId="0" fontId="1" fillId="5" borderId="32" xfId="0" applyFont="1" applyFill="1" applyBorder="1" applyAlignment="1" applyProtection="1">
      <alignment horizontal="center" vertical="center" wrapText="1"/>
      <protection hidden="1"/>
    </xf>
    <xf numFmtId="2" fontId="36" fillId="11" borderId="55" xfId="0" applyNumberFormat="1" applyFont="1" applyFill="1" applyBorder="1" applyAlignment="1" applyProtection="1">
      <alignment horizontal="center" vertical="center" wrapText="1"/>
      <protection hidden="1"/>
    </xf>
    <xf numFmtId="0" fontId="36" fillId="11" borderId="30" xfId="0" applyFont="1" applyFill="1" applyBorder="1" applyAlignment="1" applyProtection="1">
      <alignment horizontal="center" vertical="center" wrapText="1"/>
      <protection hidden="1"/>
    </xf>
    <xf numFmtId="0" fontId="0" fillId="27" borderId="99" xfId="0" applyFill="1" applyBorder="1" applyAlignment="1" applyProtection="1">
      <alignment horizontal="center" vertical="center"/>
      <protection hidden="1"/>
    </xf>
    <xf numFmtId="0" fontId="0" fillId="27" borderId="33" xfId="0" applyFill="1" applyBorder="1" applyAlignment="1" applyProtection="1">
      <alignment horizontal="center" vertical="center"/>
      <protection hidden="1"/>
    </xf>
    <xf numFmtId="0" fontId="0" fillId="27" borderId="34" xfId="0" applyFill="1" applyBorder="1" applyAlignment="1" applyProtection="1">
      <alignment horizontal="center" vertical="center"/>
      <protection hidden="1"/>
    </xf>
    <xf numFmtId="0" fontId="35" fillId="5" borderId="56" xfId="0" applyFont="1" applyFill="1" applyBorder="1" applyAlignment="1" applyProtection="1">
      <alignment horizontal="left" vertical="center"/>
      <protection hidden="1"/>
    </xf>
    <xf numFmtId="0" fontId="35" fillId="5" borderId="7" xfId="0" applyFont="1" applyFill="1" applyBorder="1" applyAlignment="1" applyProtection="1">
      <alignment horizontal="left" vertical="center"/>
      <protection hidden="1"/>
    </xf>
    <xf numFmtId="0" fontId="35" fillId="5" borderId="8" xfId="0" applyFont="1" applyFill="1" applyBorder="1" applyAlignment="1" applyProtection="1">
      <alignment horizontal="left" vertical="center"/>
      <protection hidden="1"/>
    </xf>
    <xf numFmtId="0" fontId="36" fillId="11" borderId="100" xfId="0" applyFont="1" applyFill="1" applyBorder="1" applyAlignment="1" applyProtection="1">
      <alignment horizontal="left" vertical="center" wrapText="1"/>
      <protection hidden="1"/>
    </xf>
    <xf numFmtId="0" fontId="36" fillId="11" borderId="31" xfId="0" applyFont="1" applyFill="1" applyBorder="1" applyAlignment="1" applyProtection="1">
      <alignment horizontal="left" vertical="center" wrapText="1"/>
      <protection hidden="1"/>
    </xf>
    <xf numFmtId="0" fontId="36" fillId="11" borderId="37" xfId="0" applyFont="1" applyFill="1" applyBorder="1" applyAlignment="1" applyProtection="1">
      <alignment horizontal="center" vertical="center" wrapText="1"/>
      <protection hidden="1"/>
    </xf>
    <xf numFmtId="0" fontId="35" fillId="5" borderId="57" xfId="0" applyFont="1" applyFill="1" applyBorder="1" applyAlignment="1" applyProtection="1">
      <alignment horizontal="left" vertical="center"/>
      <protection hidden="1"/>
    </xf>
    <xf numFmtId="0" fontId="35" fillId="5" borderId="58" xfId="0" applyFont="1" applyFill="1" applyBorder="1" applyAlignment="1" applyProtection="1">
      <alignment horizontal="left" vertical="center"/>
      <protection hidden="1"/>
    </xf>
    <xf numFmtId="0" fontId="35" fillId="5" borderId="59" xfId="0" applyFont="1" applyFill="1" applyBorder="1" applyAlignment="1" applyProtection="1">
      <alignment horizontal="left" vertical="center"/>
      <protection hidden="1"/>
    </xf>
    <xf numFmtId="0" fontId="131" fillId="0" borderId="11" xfId="0" applyFont="1" applyBorder="1" applyAlignment="1" applyProtection="1">
      <alignment horizontal="right" vertical="center"/>
      <protection hidden="1"/>
    </xf>
    <xf numFmtId="0" fontId="131" fillId="0" borderId="16" xfId="0" applyFont="1" applyBorder="1" applyAlignment="1" applyProtection="1">
      <alignment horizontal="right" vertical="center"/>
      <protection hidden="1"/>
    </xf>
    <xf numFmtId="0" fontId="50" fillId="9" borderId="3" xfId="0" applyFont="1" applyFill="1" applyBorder="1" applyAlignment="1" applyProtection="1">
      <alignment horizontal="left" vertical="center"/>
      <protection hidden="1"/>
    </xf>
    <xf numFmtId="0" fontId="50" fillId="9" borderId="7" xfId="0" applyFont="1" applyFill="1" applyBorder="1" applyAlignment="1" applyProtection="1">
      <alignment horizontal="left" vertical="center"/>
      <protection hidden="1"/>
    </xf>
    <xf numFmtId="0" fontId="50" fillId="9" borderId="8" xfId="0" applyFont="1" applyFill="1" applyBorder="1" applyAlignment="1" applyProtection="1">
      <alignment horizontal="left" vertical="center"/>
      <protection hidden="1"/>
    </xf>
    <xf numFmtId="0" fontId="2" fillId="0" borderId="3" xfId="0" applyFont="1" applyBorder="1" applyAlignment="1">
      <alignment horizontal="left" vertical="center"/>
    </xf>
    <xf numFmtId="0" fontId="2" fillId="0" borderId="8" xfId="0" applyFont="1" applyBorder="1" applyAlignment="1">
      <alignment horizontal="left" vertical="center"/>
    </xf>
    <xf numFmtId="0" fontId="44" fillId="10" borderId="4" xfId="0" applyFont="1" applyFill="1" applyBorder="1" applyAlignment="1" applyProtection="1">
      <alignment horizontal="left" vertical="center"/>
      <protection hidden="1"/>
    </xf>
    <xf numFmtId="0" fontId="44" fillId="10" borderId="1" xfId="0" applyFont="1" applyFill="1" applyBorder="1" applyAlignment="1" applyProtection="1">
      <alignment horizontal="left" vertical="center"/>
      <protection hidden="1"/>
    </xf>
    <xf numFmtId="0" fontId="9" fillId="0" borderId="58" xfId="0" applyFont="1" applyBorder="1" applyAlignment="1" applyProtection="1">
      <alignment horizontal="left"/>
      <protection hidden="1"/>
    </xf>
    <xf numFmtId="0" fontId="42" fillId="0" borderId="0" xfId="0" applyFont="1" applyAlignment="1" applyProtection="1">
      <alignment horizontal="center" vertical="center"/>
      <protection hidden="1"/>
    </xf>
    <xf numFmtId="165" fontId="1" fillId="0" borderId="8" xfId="0" applyNumberFormat="1" applyFont="1" applyBorder="1" applyAlignment="1">
      <alignment horizontal="center" vertical="center"/>
    </xf>
    <xf numFmtId="0" fontId="36" fillId="11" borderId="31" xfId="0" applyFont="1" applyFill="1" applyBorder="1" applyAlignment="1" applyProtection="1">
      <alignment horizontal="center" vertical="center" wrapText="1"/>
      <protection hidden="1"/>
    </xf>
    <xf numFmtId="165" fontId="1" fillId="2" borderId="30" xfId="0" applyNumberFormat="1" applyFont="1" applyFill="1" applyBorder="1" applyAlignment="1">
      <alignment horizontal="center" vertical="center"/>
    </xf>
    <xf numFmtId="0" fontId="0" fillId="27" borderId="94" xfId="0" applyFill="1" applyBorder="1" applyAlignment="1" applyProtection="1">
      <alignment horizontal="center" vertical="center"/>
      <protection hidden="1"/>
    </xf>
    <xf numFmtId="1" fontId="36" fillId="11" borderId="3" xfId="0" applyNumberFormat="1" applyFont="1" applyFill="1" applyBorder="1" applyAlignment="1" applyProtection="1">
      <alignment horizontal="center" vertical="center" wrapText="1"/>
      <protection hidden="1"/>
    </xf>
    <xf numFmtId="0" fontId="38" fillId="5" borderId="81" xfId="0" applyFont="1" applyFill="1" applyBorder="1" applyAlignment="1" applyProtection="1">
      <alignment horizontal="left" vertical="center"/>
      <protection hidden="1"/>
    </xf>
    <xf numFmtId="0" fontId="38" fillId="5" borderId="95" xfId="0" applyFont="1" applyFill="1" applyBorder="1" applyAlignment="1" applyProtection="1">
      <alignment horizontal="left" vertical="center"/>
      <protection hidden="1"/>
    </xf>
    <xf numFmtId="0" fontId="38" fillId="5" borderId="96" xfId="0" applyFont="1" applyFill="1" applyBorder="1" applyAlignment="1" applyProtection="1">
      <alignment horizontal="left" vertical="center"/>
      <protection hidden="1"/>
    </xf>
    <xf numFmtId="0" fontId="38" fillId="5" borderId="66" xfId="0" applyFont="1" applyFill="1" applyBorder="1" applyAlignment="1" applyProtection="1">
      <alignment horizontal="left" vertical="center"/>
      <protection hidden="1"/>
    </xf>
    <xf numFmtId="0" fontId="38" fillId="5" borderId="0" xfId="0" applyFont="1" applyFill="1" applyAlignment="1" applyProtection="1">
      <alignment horizontal="left" vertical="center"/>
      <protection hidden="1"/>
    </xf>
    <xf numFmtId="0" fontId="38" fillId="5" borderId="18" xfId="0" applyFont="1" applyFill="1" applyBorder="1" applyAlignment="1" applyProtection="1">
      <alignment horizontal="left" vertical="center"/>
      <protection hidden="1"/>
    </xf>
    <xf numFmtId="0" fontId="38" fillId="5" borderId="97" xfId="0" applyFont="1" applyFill="1" applyBorder="1" applyAlignment="1" applyProtection="1">
      <alignment horizontal="left" vertical="center"/>
      <protection hidden="1"/>
    </xf>
    <xf numFmtId="0" fontId="38" fillId="5" borderId="50" xfId="0" applyFont="1" applyFill="1" applyBorder="1" applyAlignment="1" applyProtection="1">
      <alignment horizontal="left" vertical="center"/>
      <protection hidden="1"/>
    </xf>
    <xf numFmtId="0" fontId="38" fillId="5" borderId="90" xfId="0" applyFont="1" applyFill="1" applyBorder="1" applyAlignment="1" applyProtection="1">
      <alignment horizontal="left" vertical="center"/>
      <protection hidden="1"/>
    </xf>
    <xf numFmtId="0" fontId="38" fillId="5" borderId="63" xfId="0" applyFont="1" applyFill="1" applyBorder="1" applyAlignment="1" applyProtection="1">
      <alignment horizontal="left" vertical="center"/>
      <protection hidden="1"/>
    </xf>
    <xf numFmtId="0" fontId="38" fillId="5" borderId="33" xfId="0" applyFont="1" applyFill="1" applyBorder="1" applyAlignment="1" applyProtection="1">
      <alignment horizontal="left" vertical="center"/>
      <protection hidden="1"/>
    </xf>
    <xf numFmtId="2" fontId="36" fillId="11" borderId="98" xfId="0" applyNumberFormat="1" applyFont="1" applyFill="1" applyBorder="1" applyAlignment="1" applyProtection="1">
      <alignment horizontal="left" vertical="center" wrapText="1"/>
      <protection hidden="1"/>
    </xf>
    <xf numFmtId="0" fontId="36" fillId="11" borderId="37" xfId="0" applyFont="1" applyFill="1" applyBorder="1" applyAlignment="1" applyProtection="1">
      <alignment horizontal="left" vertical="center" wrapText="1"/>
      <protection hidden="1"/>
    </xf>
    <xf numFmtId="0" fontId="5" fillId="0" borderId="0" xfId="0" applyFont="1" applyAlignment="1">
      <alignment horizontal="left" wrapText="1"/>
    </xf>
    <xf numFmtId="0" fontId="5" fillId="3" borderId="17" xfId="2" applyFill="1" applyBorder="1" applyAlignment="1">
      <alignment horizontal="left" wrapText="1"/>
    </xf>
    <xf numFmtId="0" fontId="5" fillId="3" borderId="0" xfId="2" applyFill="1" applyAlignment="1">
      <alignment horizontal="left" wrapText="1"/>
    </xf>
    <xf numFmtId="0" fontId="5" fillId="3" borderId="18" xfId="2" applyFill="1" applyBorder="1" applyAlignment="1">
      <alignment horizontal="left" wrapText="1"/>
    </xf>
    <xf numFmtId="0" fontId="106" fillId="0" borderId="0" xfId="1" applyFont="1" applyBorder="1" applyAlignment="1" applyProtection="1">
      <alignment horizontal="right" vertical="center"/>
    </xf>
    <xf numFmtId="0" fontId="5" fillId="3" borderId="3" xfId="2" applyFill="1" applyBorder="1" applyAlignment="1">
      <alignment horizontal="left" wrapText="1"/>
    </xf>
    <xf numFmtId="0" fontId="5" fillId="3" borderId="7" xfId="2" applyFill="1" applyBorder="1" applyAlignment="1">
      <alignment horizontal="left" wrapText="1"/>
    </xf>
    <xf numFmtId="0" fontId="5" fillId="3" borderId="8" xfId="2" applyFill="1" applyBorder="1" applyAlignment="1">
      <alignment horizontal="left" wrapText="1"/>
    </xf>
    <xf numFmtId="0" fontId="1" fillId="0" borderId="17" xfId="2" applyFont="1" applyBorder="1" applyAlignment="1">
      <alignment horizontal="left" wrapText="1"/>
    </xf>
    <xf numFmtId="0" fontId="1" fillId="0" borderId="0" xfId="2" applyFont="1" applyAlignment="1">
      <alignment horizontal="left" wrapText="1"/>
    </xf>
    <xf numFmtId="0" fontId="1" fillId="0" borderId="18" xfId="2" applyFont="1" applyBorder="1" applyAlignment="1">
      <alignment horizontal="left" wrapText="1"/>
    </xf>
    <xf numFmtId="0" fontId="101" fillId="0" borderId="13" xfId="1" applyFill="1" applyBorder="1" applyAlignment="1" applyProtection="1">
      <alignment horizontal="center" vertical="center"/>
    </xf>
    <xf numFmtId="0" fontId="101" fillId="0" borderId="0" xfId="1" applyFill="1" applyBorder="1" applyAlignment="1" applyProtection="1">
      <alignment horizontal="center" vertical="center"/>
    </xf>
    <xf numFmtId="0" fontId="19" fillId="9" borderId="3" xfId="2" applyFont="1" applyFill="1" applyBorder="1" applyAlignment="1">
      <alignment horizontal="left" vertical="center"/>
    </xf>
    <xf numFmtId="0" fontId="19" fillId="9" borderId="7" xfId="2" applyFont="1" applyFill="1" applyBorder="1" applyAlignment="1">
      <alignment horizontal="left" vertical="center"/>
    </xf>
    <xf numFmtId="0" fontId="5" fillId="3" borderId="11" xfId="2" applyFill="1" applyBorder="1" applyAlignment="1">
      <alignment horizontal="left" wrapText="1"/>
    </xf>
    <xf numFmtId="0" fontId="5" fillId="3" borderId="16" xfId="2" applyFill="1" applyBorder="1" applyAlignment="1">
      <alignment horizontal="left" wrapText="1"/>
    </xf>
    <xf numFmtId="0" fontId="5" fillId="3" borderId="71" xfId="2" applyFill="1" applyBorder="1" applyAlignment="1">
      <alignment horizontal="left" wrapText="1"/>
    </xf>
    <xf numFmtId="0" fontId="1" fillId="0" borderId="17" xfId="2" applyFont="1" applyBorder="1" applyAlignment="1">
      <alignment horizontal="center" wrapText="1"/>
    </xf>
    <xf numFmtId="0" fontId="1" fillId="0" borderId="0" xfId="2" applyFont="1" applyAlignment="1">
      <alignment horizontal="center" wrapText="1"/>
    </xf>
    <xf numFmtId="0" fontId="1" fillId="0" borderId="18" xfId="2" applyFont="1" applyBorder="1" applyAlignment="1">
      <alignment horizontal="center" wrapText="1"/>
    </xf>
    <xf numFmtId="0" fontId="5" fillId="0" borderId="0" xfId="2" applyAlignment="1">
      <alignment horizontal="center" wrapText="1"/>
    </xf>
    <xf numFmtId="0" fontId="5" fillId="0" borderId="18" xfId="2" applyBorder="1" applyAlignment="1">
      <alignment horizontal="center" wrapText="1"/>
    </xf>
    <xf numFmtId="0" fontId="5" fillId="3" borderId="17" xfId="2" applyFill="1" applyBorder="1" applyAlignment="1">
      <alignment horizontal="center" wrapText="1"/>
    </xf>
    <xf numFmtId="0" fontId="5" fillId="3" borderId="0" xfId="2" applyFill="1" applyAlignment="1">
      <alignment horizontal="center" wrapText="1"/>
    </xf>
    <xf numFmtId="0" fontId="5" fillId="3" borderId="18" xfId="2" applyFill="1" applyBorder="1" applyAlignment="1">
      <alignment horizontal="center" wrapText="1"/>
    </xf>
    <xf numFmtId="0" fontId="1" fillId="3" borderId="17" xfId="2" applyFont="1" applyFill="1" applyBorder="1" applyAlignment="1">
      <alignment horizontal="left" wrapText="1"/>
    </xf>
    <xf numFmtId="0" fontId="1" fillId="3" borderId="0" xfId="2" applyFont="1" applyFill="1" applyAlignment="1">
      <alignment horizontal="left" wrapText="1"/>
    </xf>
    <xf numFmtId="0" fontId="1" fillId="3" borderId="18" xfId="2" applyFont="1" applyFill="1" applyBorder="1" applyAlignment="1">
      <alignment horizontal="left" wrapText="1"/>
    </xf>
    <xf numFmtId="0" fontId="1" fillId="3" borderId="11" xfId="2" applyFont="1" applyFill="1" applyBorder="1" applyAlignment="1">
      <alignment horizontal="left" wrapText="1"/>
    </xf>
    <xf numFmtId="0" fontId="1" fillId="3" borderId="17" xfId="2" applyFont="1" applyFill="1" applyBorder="1" applyAlignment="1">
      <alignment horizontal="center" wrapText="1"/>
    </xf>
    <xf numFmtId="0" fontId="1" fillId="3" borderId="0" xfId="2" applyFont="1" applyFill="1" applyAlignment="1">
      <alignment horizontal="center" wrapText="1"/>
    </xf>
    <xf numFmtId="0" fontId="1" fillId="3" borderId="18" xfId="2" applyFont="1" applyFill="1" applyBorder="1" applyAlignment="1">
      <alignment horizontal="center" wrapText="1"/>
    </xf>
    <xf numFmtId="0" fontId="27" fillId="0" borderId="3" xfId="2" applyFont="1" applyBorder="1" applyAlignment="1">
      <alignment horizontal="center"/>
    </xf>
    <xf numFmtId="0" fontId="27" fillId="0" borderId="7" xfId="2" applyFont="1" applyBorder="1" applyAlignment="1">
      <alignment horizontal="center"/>
    </xf>
    <xf numFmtId="0" fontId="1" fillId="3" borderId="16" xfId="2" applyFont="1" applyFill="1" applyBorder="1" applyAlignment="1">
      <alignment horizontal="left" wrapText="1"/>
    </xf>
    <xf numFmtId="0" fontId="1" fillId="3" borderId="71" xfId="2" applyFont="1" applyFill="1" applyBorder="1" applyAlignment="1">
      <alignment horizontal="left" wrapText="1"/>
    </xf>
    <xf numFmtId="0" fontId="38" fillId="3" borderId="17" xfId="2" applyFont="1" applyFill="1" applyBorder="1" applyAlignment="1">
      <alignment horizontal="center" wrapText="1"/>
    </xf>
    <xf numFmtId="0" fontId="44" fillId="3" borderId="0" xfId="2" applyFont="1" applyFill="1" applyAlignment="1">
      <alignment horizontal="center" wrapText="1"/>
    </xf>
    <xf numFmtId="0" fontId="44" fillId="3" borderId="18" xfId="2" applyFont="1" applyFill="1" applyBorder="1" applyAlignment="1">
      <alignment horizontal="center" wrapText="1"/>
    </xf>
    <xf numFmtId="0" fontId="12" fillId="0" borderId="0" xfId="2" applyFont="1" applyAlignment="1">
      <alignment horizontal="left" wrapText="1"/>
    </xf>
  </cellXfs>
  <cellStyles count="3">
    <cellStyle name="Hyperlink" xfId="1" builtinId="8"/>
    <cellStyle name="Normal" xfId="0" builtinId="0"/>
    <cellStyle name="Normal 2" xfId="2" xr:uid="{00000000-0005-0000-0000-000002000000}"/>
  </cellStyles>
  <dxfs count="103">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6565"/>
        </patternFill>
      </fill>
    </dxf>
    <dxf>
      <fill>
        <patternFill>
          <bgColor rgb="FFFF6565"/>
        </patternFill>
      </fill>
    </dxf>
    <dxf>
      <fill>
        <patternFill>
          <bgColor rgb="FFFF6565"/>
        </patternFill>
      </fill>
    </dxf>
    <dxf>
      <fill>
        <patternFill>
          <bgColor rgb="FFFF6565"/>
        </patternFill>
      </fill>
    </dxf>
    <dxf>
      <fill>
        <patternFill>
          <bgColor rgb="FFFF6565"/>
        </patternFill>
      </fill>
    </dxf>
    <dxf>
      <fill>
        <patternFill>
          <bgColor rgb="FFFF6565"/>
        </patternFill>
      </fill>
    </dxf>
    <dxf>
      <fill>
        <patternFill>
          <bgColor rgb="FFFF6565"/>
        </patternFill>
      </fill>
    </dxf>
    <dxf>
      <fill>
        <patternFill>
          <bgColor rgb="FF65FF65"/>
        </patternFill>
      </fill>
    </dxf>
    <dxf>
      <fill>
        <patternFill>
          <bgColor rgb="FF65FF65"/>
        </patternFill>
      </fill>
    </dxf>
    <dxf>
      <fill>
        <patternFill>
          <bgColor rgb="FF65FF65"/>
        </patternFill>
      </fill>
    </dxf>
    <dxf>
      <fill>
        <patternFill>
          <bgColor rgb="FF65FF65"/>
        </patternFill>
      </fill>
    </dxf>
    <dxf>
      <fill>
        <patternFill>
          <bgColor rgb="FFFF6565"/>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65FF65"/>
        </patternFill>
      </fill>
    </dxf>
    <dxf>
      <fill>
        <patternFill>
          <bgColor rgb="FFFF6565"/>
        </patternFill>
      </fill>
    </dxf>
    <dxf>
      <fill>
        <patternFill>
          <bgColor rgb="FFFFC000"/>
        </patternFill>
      </fill>
    </dxf>
    <dxf>
      <fill>
        <patternFill>
          <bgColor rgb="FFFFC000"/>
        </patternFill>
      </fill>
    </dxf>
    <dxf>
      <fill>
        <patternFill>
          <bgColor rgb="FF65FF65"/>
        </patternFill>
      </fill>
    </dxf>
    <dxf>
      <fill>
        <patternFill>
          <bgColor rgb="FF65FF65"/>
        </patternFill>
      </fill>
    </dxf>
    <dxf>
      <fill>
        <patternFill>
          <bgColor rgb="FF65FF65"/>
        </patternFill>
      </fill>
    </dxf>
    <dxf>
      <fill>
        <patternFill>
          <bgColor rgb="FFFF6565"/>
        </patternFill>
      </fill>
    </dxf>
    <dxf>
      <fill>
        <patternFill>
          <bgColor rgb="FFFF6565"/>
        </patternFill>
      </fill>
    </dxf>
    <dxf>
      <fill>
        <patternFill>
          <bgColor rgb="FFFF6565"/>
        </patternFill>
      </fill>
    </dxf>
    <dxf>
      <fill>
        <patternFill>
          <bgColor rgb="FFFF6565"/>
        </patternFill>
      </fill>
    </dxf>
    <dxf>
      <fill>
        <patternFill>
          <bgColor rgb="FFFF6565"/>
        </patternFill>
      </fill>
    </dxf>
    <dxf>
      <fill>
        <patternFill>
          <bgColor rgb="FFFF6565"/>
        </patternFill>
      </fill>
    </dxf>
    <dxf>
      <fill>
        <patternFill>
          <bgColor rgb="FF65FF65"/>
        </patternFill>
      </fill>
    </dxf>
    <dxf>
      <fill>
        <patternFill>
          <bgColor rgb="FF65FF65"/>
        </patternFill>
      </fill>
    </dxf>
    <dxf>
      <fill>
        <patternFill>
          <bgColor rgb="FF65FF65"/>
        </patternFill>
      </fill>
    </dxf>
    <dxf>
      <fill>
        <patternFill>
          <bgColor rgb="FF65FF65"/>
        </patternFill>
      </fill>
    </dxf>
    <dxf>
      <fill>
        <patternFill>
          <bgColor rgb="FF65FF65"/>
        </patternFill>
      </fill>
    </dxf>
    <dxf>
      <fill>
        <patternFill>
          <bgColor rgb="FFFFC000"/>
        </patternFill>
      </fill>
    </dxf>
    <dxf>
      <fill>
        <patternFill>
          <bgColor rgb="FFFFC000"/>
        </patternFill>
      </fill>
    </dxf>
    <dxf>
      <fill>
        <patternFill>
          <bgColor rgb="FFFF6565"/>
        </patternFill>
      </fill>
    </dxf>
    <dxf>
      <fill>
        <patternFill>
          <bgColor rgb="FFFF6565"/>
        </patternFill>
      </fill>
    </dxf>
    <dxf>
      <fill>
        <patternFill>
          <bgColor rgb="FF65FF65"/>
        </patternFill>
      </fill>
    </dxf>
    <dxf>
      <fill>
        <patternFill>
          <bgColor rgb="FF65FF65"/>
        </patternFill>
      </fill>
    </dxf>
    <dxf>
      <fill>
        <patternFill>
          <bgColor rgb="FF65FF65"/>
        </patternFill>
      </fill>
    </dxf>
    <dxf>
      <fill>
        <patternFill>
          <bgColor rgb="FFFFC000"/>
        </patternFill>
      </fill>
    </dxf>
    <dxf>
      <fill>
        <patternFill>
          <bgColor rgb="FFFF6565"/>
        </patternFill>
      </fill>
    </dxf>
    <dxf>
      <fill>
        <patternFill>
          <bgColor rgb="FF65FF65"/>
        </patternFill>
      </fill>
    </dxf>
    <dxf>
      <fill>
        <patternFill>
          <bgColor rgb="FFFFC000"/>
        </patternFill>
      </fill>
    </dxf>
    <dxf>
      <fill>
        <patternFill>
          <bgColor rgb="FF65FF65"/>
        </patternFill>
      </fill>
    </dxf>
    <dxf>
      <fill>
        <patternFill>
          <bgColor rgb="FFFFC000"/>
        </patternFill>
      </fill>
    </dxf>
    <dxf>
      <fill>
        <patternFill>
          <bgColor rgb="FFFF6565"/>
        </patternFill>
      </fill>
    </dxf>
    <dxf>
      <fill>
        <patternFill>
          <bgColor rgb="FF65FF65"/>
        </patternFill>
      </fill>
    </dxf>
    <dxf>
      <fill>
        <patternFill>
          <bgColor rgb="FFFF6565"/>
        </patternFill>
      </fill>
    </dxf>
    <dxf>
      <fill>
        <patternFill>
          <bgColor rgb="FFFF6565"/>
        </patternFill>
      </fill>
    </dxf>
    <dxf>
      <fill>
        <patternFill>
          <bgColor rgb="FFFF6565"/>
        </patternFill>
      </fill>
    </dxf>
    <dxf>
      <font>
        <color theme="0"/>
      </font>
    </dxf>
    <dxf>
      <fill>
        <patternFill>
          <bgColor rgb="FFFFFF99"/>
        </patternFill>
      </fill>
    </dxf>
    <dxf>
      <fill>
        <patternFill>
          <bgColor rgb="FFFFFFCC"/>
        </patternFill>
      </fill>
    </dxf>
    <dxf>
      <fill>
        <patternFill>
          <bgColor rgb="FFFF6565"/>
        </patternFill>
      </fill>
    </dxf>
    <dxf>
      <fill>
        <patternFill>
          <bgColor rgb="FFFFFFCC"/>
        </patternFill>
      </fill>
    </dxf>
    <dxf>
      <fill>
        <patternFill>
          <bgColor rgb="FFCC6600"/>
        </patternFill>
      </fill>
    </dxf>
    <dxf>
      <fill>
        <patternFill>
          <bgColor rgb="FF92D050"/>
        </patternFill>
      </fill>
    </dxf>
    <dxf>
      <fill>
        <patternFill>
          <bgColor theme="3" tint="0.79998168889431442"/>
        </patternFill>
      </fill>
    </dxf>
    <dxf>
      <fill>
        <patternFill>
          <bgColor rgb="FFFF6565"/>
        </patternFill>
      </fill>
    </dxf>
    <dxf>
      <fill>
        <patternFill>
          <bgColor rgb="FFFFC000"/>
        </patternFill>
      </fill>
    </dxf>
    <dxf>
      <fill>
        <patternFill>
          <bgColor rgb="FF65FF65"/>
        </patternFill>
      </fill>
    </dxf>
    <dxf>
      <font>
        <color theme="1"/>
        <name val="Cambria"/>
        <scheme val="none"/>
      </font>
      <fill>
        <patternFill>
          <bgColor rgb="FFFF6565"/>
        </patternFill>
      </fill>
    </dxf>
    <dxf>
      <fill>
        <patternFill>
          <bgColor rgb="FFFF6565"/>
        </patternFill>
      </fill>
    </dxf>
    <dxf>
      <font>
        <color theme="0"/>
      </font>
      <fill>
        <patternFill patternType="none">
          <bgColor indexed="65"/>
        </patternFill>
      </fill>
    </dxf>
    <dxf>
      <font>
        <color theme="0"/>
      </font>
      <fill>
        <patternFill patternType="none">
          <bgColor indexed="65"/>
        </patternFill>
      </fill>
    </dxf>
    <dxf>
      <font>
        <color theme="0"/>
      </font>
      <fill>
        <patternFill patternType="none">
          <bgColor indexed="65"/>
        </patternFill>
      </fill>
    </dxf>
    <dxf>
      <font>
        <color theme="0"/>
      </font>
      <fill>
        <patternFill patternType="none">
          <bgColor indexed="65"/>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patternType="none">
          <bgColor indexed="65"/>
        </patternFill>
      </fill>
    </dxf>
    <dxf>
      <font>
        <color theme="0"/>
      </font>
      <fill>
        <patternFill patternType="solid">
          <bgColor theme="0"/>
        </patternFill>
      </fill>
    </dxf>
    <dxf>
      <fill>
        <patternFill>
          <bgColor rgb="FF65FF65"/>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dxf>
    <dxf>
      <fill>
        <patternFill>
          <bgColor rgb="FF65FF65"/>
        </patternFill>
      </fill>
    </dxf>
    <dxf>
      <fill>
        <patternFill>
          <bgColor rgb="FFFFC000"/>
        </patternFill>
      </fill>
    </dxf>
    <dxf>
      <fill>
        <patternFill>
          <bgColor rgb="FF65FF65"/>
        </patternFill>
      </fill>
    </dxf>
    <dxf>
      <fill>
        <patternFill>
          <bgColor rgb="FFCCFFFF"/>
        </patternFill>
      </fill>
    </dxf>
    <dxf>
      <fill>
        <patternFill>
          <bgColor rgb="FFFFC000"/>
        </patternFill>
      </fill>
    </dxf>
    <dxf>
      <fill>
        <patternFill>
          <bgColor rgb="FFFF6600"/>
        </patternFill>
      </fill>
    </dxf>
    <dxf>
      <fill>
        <patternFill>
          <bgColor rgb="FFFFC000"/>
        </patternFill>
      </fill>
    </dxf>
    <dxf>
      <fill>
        <patternFill>
          <bgColor rgb="FFFFC000"/>
        </patternFill>
      </fill>
    </dxf>
    <dxf>
      <fill>
        <patternFill>
          <bgColor rgb="FFFFC000"/>
        </patternFill>
      </fill>
    </dxf>
    <dxf>
      <fill>
        <patternFill>
          <bgColor rgb="FFCCFF33"/>
        </patternFill>
      </fill>
    </dxf>
    <dxf>
      <fill>
        <patternFill>
          <bgColor rgb="FF65FF65"/>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xdr:col>
      <xdr:colOff>36830</xdr:colOff>
      <xdr:row>14</xdr:row>
      <xdr:rowOff>36830</xdr:rowOff>
    </xdr:from>
    <xdr:to>
      <xdr:col>1</xdr:col>
      <xdr:colOff>1526365</xdr:colOff>
      <xdr:row>14</xdr:row>
      <xdr:rowOff>174371</xdr:rowOff>
    </xdr:to>
    <xdr:sp macro="[0]!boil" textlink="">
      <xdr:nvSpPr>
        <xdr:cNvPr id="3" name="TextBox 2">
          <a:extLst>
            <a:ext uri="{FF2B5EF4-FFF2-40B4-BE49-F238E27FC236}">
              <a16:creationId xmlns:a16="http://schemas.microsoft.com/office/drawing/2014/main" id="{00000000-0008-0000-0100-000003000000}"/>
            </a:ext>
          </a:extLst>
        </xdr:cNvPr>
        <xdr:cNvSpPr txBox="1"/>
      </xdr:nvSpPr>
      <xdr:spPr>
        <a:xfrm>
          <a:off x="2613660" y="3672840"/>
          <a:ext cx="1493520" cy="144780"/>
        </a:xfrm>
        <a:prstGeom prst="rect">
          <a:avLst/>
        </a:prstGeom>
        <a:solidFill>
          <a:srgbClr val="FFE1E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1"/>
        <a:lstStyle/>
        <a:p>
          <a:r>
            <a:rPr lang="en-US" sz="1000">
              <a:latin typeface="Arial" panose="020B0604020202020204" pitchFamily="34" charset="0"/>
              <a:cs typeface="Arial" panose="020B0604020202020204" pitchFamily="34" charset="0"/>
            </a:rPr>
            <a:t>Click to Convert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38100</xdr:colOff>
      <xdr:row>0</xdr:row>
      <xdr:rowOff>41275</xdr:rowOff>
    </xdr:from>
    <xdr:to>
      <xdr:col>1</xdr:col>
      <xdr:colOff>579595</xdr:colOff>
      <xdr:row>0</xdr:row>
      <xdr:rowOff>985598</xdr:rowOff>
    </xdr:to>
    <xdr:sp macro="[0]!reload" textlink="">
      <xdr:nvSpPr>
        <xdr:cNvPr id="2" name="Rectangle 1">
          <a:extLst>
            <a:ext uri="{FF2B5EF4-FFF2-40B4-BE49-F238E27FC236}">
              <a16:creationId xmlns:a16="http://schemas.microsoft.com/office/drawing/2014/main" id="{00000000-0008-0000-0600-000002000000}"/>
            </a:ext>
          </a:extLst>
        </xdr:cNvPr>
        <xdr:cNvSpPr/>
      </xdr:nvSpPr>
      <xdr:spPr bwMode="auto">
        <a:xfrm>
          <a:off x="2600325" y="47625"/>
          <a:ext cx="552450" cy="942975"/>
        </a:xfrm>
        <a:prstGeom prst="rect">
          <a:avLst/>
        </a:prstGeom>
        <a:noFill/>
        <a:ln w="9525" cap="flat" cmpd="sng" algn="ctr">
          <a:noFill/>
          <a:prstDash val="solid"/>
          <a:round/>
          <a:headEnd type="none" w="med" len="med"/>
          <a:tailEnd type="none" w="med" len="med"/>
        </a:ln>
        <a:effectLst/>
      </xdr:spPr>
      <xdr:txBody>
        <a:bodyPr vertOverflow="clip" vert="vert270" wrap="square" lIns="18288" tIns="0" rIns="0" bIns="0" rtlCol="0" anchor="ctr" upright="1"/>
        <a:lstStyle/>
        <a:p>
          <a:pPr algn="ctr"/>
          <a:endParaRPr lang="en-US" sz="1100"/>
        </a:p>
      </xdr:txBody>
    </xdr:sp>
    <xdr:clientData/>
  </xdr:twoCellAnchor>
  <xdr:twoCellAnchor>
    <xdr:from>
      <xdr:col>3</xdr:col>
      <xdr:colOff>11430</xdr:colOff>
      <xdr:row>0</xdr:row>
      <xdr:rowOff>38100</xdr:rowOff>
    </xdr:from>
    <xdr:to>
      <xdr:col>3</xdr:col>
      <xdr:colOff>589280</xdr:colOff>
      <xdr:row>0</xdr:row>
      <xdr:rowOff>1000146</xdr:rowOff>
    </xdr:to>
    <xdr:sp macro="[0]!_xludf.save" textlink="">
      <xdr:nvSpPr>
        <xdr:cNvPr id="3" name="Rectangle 2">
          <a:extLst>
            <a:ext uri="{FF2B5EF4-FFF2-40B4-BE49-F238E27FC236}">
              <a16:creationId xmlns:a16="http://schemas.microsoft.com/office/drawing/2014/main" id="{00000000-0008-0000-0600-000003000000}"/>
            </a:ext>
          </a:extLst>
        </xdr:cNvPr>
        <xdr:cNvSpPr/>
      </xdr:nvSpPr>
      <xdr:spPr bwMode="auto">
        <a:xfrm>
          <a:off x="3800475" y="38100"/>
          <a:ext cx="581025" cy="962025"/>
        </a:xfrm>
        <a:prstGeom prst="rect">
          <a:avLst/>
        </a:prstGeom>
        <a:noFill/>
        <a:ln w="9525" cap="flat" cmpd="sng" algn="ctr">
          <a:noFill/>
          <a:prstDash val="solid"/>
          <a:round/>
          <a:headEnd type="none" w="med" len="med"/>
          <a:tailEnd type="none" w="med" len="med"/>
        </a:ln>
        <a:effectLst/>
      </xdr:spPr>
      <xdr:txBody>
        <a:bodyPr vertOverflow="clip" vert="vert270" wrap="square" lIns="18288" tIns="0" rIns="0" bIns="0" rtlCol="0" anchor="ctr" upright="1"/>
        <a:lstStyle/>
        <a:p>
          <a:pPr algn="ctr"/>
          <a:endParaRPr lang="en-US" sz="1100"/>
        </a:p>
      </xdr:txBody>
    </xdr:sp>
    <xdr:clientData/>
  </xdr:twoCellAnchor>
  <xdr:twoCellAnchor>
    <xdr:from>
      <xdr:col>0</xdr:col>
      <xdr:colOff>1696720</xdr:colOff>
      <xdr:row>0</xdr:row>
      <xdr:rowOff>346075</xdr:rowOff>
    </xdr:from>
    <xdr:to>
      <xdr:col>0</xdr:col>
      <xdr:colOff>2411293</xdr:colOff>
      <xdr:row>0</xdr:row>
      <xdr:rowOff>698500</xdr:rowOff>
    </xdr:to>
    <xdr:sp macro="[0]!_xludf.save" textlink="">
      <xdr:nvSpPr>
        <xdr:cNvPr id="4" name="TextBox 3">
          <a:extLst>
            <a:ext uri="{FF2B5EF4-FFF2-40B4-BE49-F238E27FC236}">
              <a16:creationId xmlns:a16="http://schemas.microsoft.com/office/drawing/2014/main" id="{00000000-0008-0000-0600-000004000000}"/>
            </a:ext>
          </a:extLst>
        </xdr:cNvPr>
        <xdr:cNvSpPr txBox="1"/>
      </xdr:nvSpPr>
      <xdr:spPr>
        <a:xfrm>
          <a:off x="1704975" y="342900"/>
          <a:ext cx="714375" cy="3429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nchorCtr="0"/>
        <a:lstStyle/>
        <a:p>
          <a:pPr algn="ctr"/>
          <a:r>
            <a:rPr lang="en-US" sz="1100" b="1"/>
            <a:t>SAVE</a:t>
          </a:r>
        </a:p>
      </xdr:txBody>
    </xdr:sp>
    <xdr:clientData/>
  </xdr:twoCellAnchor>
  <xdr:twoCellAnchor>
    <xdr:from>
      <xdr:col>0</xdr:col>
      <xdr:colOff>316231</xdr:colOff>
      <xdr:row>0</xdr:row>
      <xdr:rowOff>355600</xdr:rowOff>
    </xdr:from>
    <xdr:to>
      <xdr:col>0</xdr:col>
      <xdr:colOff>1092881</xdr:colOff>
      <xdr:row>0</xdr:row>
      <xdr:rowOff>704957</xdr:rowOff>
    </xdr:to>
    <xdr:sp macro="[0]!reload" textlink="">
      <xdr:nvSpPr>
        <xdr:cNvPr id="5" name="TextBox 4">
          <a:extLst>
            <a:ext uri="{FF2B5EF4-FFF2-40B4-BE49-F238E27FC236}">
              <a16:creationId xmlns:a16="http://schemas.microsoft.com/office/drawing/2014/main" id="{00000000-0008-0000-0600-000005000000}"/>
            </a:ext>
          </a:extLst>
        </xdr:cNvPr>
        <xdr:cNvSpPr txBox="1"/>
      </xdr:nvSpPr>
      <xdr:spPr>
        <a:xfrm>
          <a:off x="314326" y="352425"/>
          <a:ext cx="762000" cy="36195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nchorCtr="0"/>
        <a:lstStyle/>
        <a:p>
          <a:pPr algn="ctr"/>
          <a:r>
            <a:rPr lang="en-US" sz="1100" b="1"/>
            <a:t>RELOAD</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15240</xdr:colOff>
      <xdr:row>32</xdr:row>
      <xdr:rowOff>152400</xdr:rowOff>
    </xdr:from>
    <xdr:to>
      <xdr:col>7</xdr:col>
      <xdr:colOff>152400</xdr:colOff>
      <xdr:row>32</xdr:row>
      <xdr:rowOff>2034540</xdr:rowOff>
    </xdr:to>
    <xdr:pic>
      <xdr:nvPicPr>
        <xdr:cNvPr id="1608769" name="Picture 2">
          <a:extLst>
            <a:ext uri="{FF2B5EF4-FFF2-40B4-BE49-F238E27FC236}">
              <a16:creationId xmlns:a16="http://schemas.microsoft.com/office/drawing/2014/main" id="{00000000-0008-0000-0800-0000418C18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1180" y="25466040"/>
          <a:ext cx="2545080" cy="18821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548640</xdr:colOff>
      <xdr:row>42</xdr:row>
      <xdr:rowOff>312420</xdr:rowOff>
    </xdr:from>
    <xdr:to>
      <xdr:col>7</xdr:col>
      <xdr:colOff>121920</xdr:colOff>
      <xdr:row>42</xdr:row>
      <xdr:rowOff>1211580</xdr:rowOff>
    </xdr:to>
    <xdr:pic>
      <xdr:nvPicPr>
        <xdr:cNvPr id="1608770" name="Picture 3" descr="Picture1.png">
          <a:extLst>
            <a:ext uri="{FF2B5EF4-FFF2-40B4-BE49-F238E27FC236}">
              <a16:creationId xmlns:a16="http://schemas.microsoft.com/office/drawing/2014/main" id="{00000000-0008-0000-0800-0000428C18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752600" y="36438840"/>
          <a:ext cx="2583180" cy="899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548640</xdr:colOff>
      <xdr:row>44</xdr:row>
      <xdr:rowOff>236220</xdr:rowOff>
    </xdr:from>
    <xdr:to>
      <xdr:col>7</xdr:col>
      <xdr:colOff>121920</xdr:colOff>
      <xdr:row>44</xdr:row>
      <xdr:rowOff>1295400</xdr:rowOff>
    </xdr:to>
    <xdr:pic>
      <xdr:nvPicPr>
        <xdr:cNvPr id="1608771" name="Picture 4" descr="Picture2.png">
          <a:extLst>
            <a:ext uri="{FF2B5EF4-FFF2-40B4-BE49-F238E27FC236}">
              <a16:creationId xmlns:a16="http://schemas.microsoft.com/office/drawing/2014/main" id="{00000000-0008-0000-0800-0000438C18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2600" y="38473380"/>
          <a:ext cx="2583180" cy="10591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171450</xdr:colOff>
          <xdr:row>30</xdr:row>
          <xdr:rowOff>209550</xdr:rowOff>
        </xdr:from>
        <xdr:to>
          <xdr:col>10</xdr:col>
          <xdr:colOff>142875</xdr:colOff>
          <xdr:row>30</xdr:row>
          <xdr:rowOff>714375</xdr:rowOff>
        </xdr:to>
        <xdr:sp macro="" textlink="">
          <xdr:nvSpPr>
            <xdr:cNvPr id="474113" name="Object 1" hidden="1">
              <a:extLst>
                <a:ext uri="{63B3BB69-23CF-44E3-9099-C40C66FF867C}">
                  <a14:compatExt spid="_x0000_s474113"/>
                </a:ext>
                <a:ext uri="{FF2B5EF4-FFF2-40B4-BE49-F238E27FC236}">
                  <a16:creationId xmlns:a16="http://schemas.microsoft.com/office/drawing/2014/main" id="{00000000-0008-0000-0800-0000013C07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314325</xdr:colOff>
          <xdr:row>120</xdr:row>
          <xdr:rowOff>285750</xdr:rowOff>
        </xdr:from>
        <xdr:to>
          <xdr:col>10</xdr:col>
          <xdr:colOff>104775</xdr:colOff>
          <xdr:row>120</xdr:row>
          <xdr:rowOff>876300</xdr:rowOff>
        </xdr:to>
        <xdr:sp macro="" textlink="">
          <xdr:nvSpPr>
            <xdr:cNvPr id="474114" name="Object 2" hidden="1">
              <a:extLst>
                <a:ext uri="{63B3BB69-23CF-44E3-9099-C40C66FF867C}">
                  <a14:compatExt spid="_x0000_s474114"/>
                </a:ext>
                <a:ext uri="{FF2B5EF4-FFF2-40B4-BE49-F238E27FC236}">
                  <a16:creationId xmlns:a16="http://schemas.microsoft.com/office/drawing/2014/main" id="{00000000-0008-0000-0800-0000023C07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CFFFF">
            <a:alpha val="50000"/>
          </a:srgbClr>
        </a:solidFill>
        <a:ln w="9525" cap="flat" cmpd="sng" algn="ctr">
          <a:solidFill>
            <a:srgbClr val="000000"/>
          </a:solidFill>
          <a:prstDash val="solid"/>
          <a:round/>
          <a:headEnd type="none" w="med" len="med"/>
          <a:tailEnd type="none" w="med" len="med"/>
        </a:ln>
        <a:effectLst/>
      </a:spPr>
      <a:bodyPr vertOverflow="clip" vert="vert270" wrap="square" lIns="18288" tIns="0" rIns="0" bIns="0" upright="1"/>
      <a:lstStyle/>
    </a:spDef>
    <a:lnDef>
      <a:spPr bwMode="auto">
        <a:xfrm>
          <a:off x="0" y="0"/>
          <a:ext cx="1" cy="1"/>
        </a:xfrm>
        <a:custGeom>
          <a:avLst/>
          <a:gdLst/>
          <a:ahLst/>
          <a:cxnLst/>
          <a:rect l="0" t="0" r="0" b="0"/>
          <a:pathLst/>
        </a:custGeom>
        <a:solidFill>
          <a:srgbClr val="CCFFFF">
            <a:alpha val="50000"/>
          </a:srgbClr>
        </a:solidFill>
        <a:ln w="9525" cap="flat" cmpd="sng" algn="ctr">
          <a:solidFill>
            <a:srgbClr val="000000"/>
          </a:solidFill>
          <a:prstDash val="solid"/>
          <a:round/>
          <a:headEnd type="none" w="med" len="med"/>
          <a:tailEnd type="none" w="med" len="med"/>
        </a:ln>
        <a:effectLst/>
      </a:spPr>
      <a:bodyPr vertOverflow="clip" vert="vert270"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sites.google.com/site/brunwater/" TargetMode="External"/><Relationship Id="rId2" Type="http://schemas.openxmlformats.org/officeDocument/2006/relationships/hyperlink" Target="https://sites.google.com/site/brunwater/" TargetMode="External"/><Relationship Id="rId1" Type="http://schemas.openxmlformats.org/officeDocument/2006/relationships/hyperlink" Target="https://sites.google.com/site/brunwater/water-knowledge" TargetMode="Externa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3.xml"/><Relationship Id="rId7" Type="http://schemas.openxmlformats.org/officeDocument/2006/relationships/oleObject" Target="../embeddings/oleObject2.bin"/><Relationship Id="rId2" Type="http://schemas.openxmlformats.org/officeDocument/2006/relationships/printerSettings" Target="../printerSettings/printerSettings9.bin"/><Relationship Id="rId1" Type="http://schemas.openxmlformats.org/officeDocument/2006/relationships/hyperlink" Target="https://sites.google.com/site/brunwater/water-knowledge" TargetMode="External"/><Relationship Id="rId6" Type="http://schemas.openxmlformats.org/officeDocument/2006/relationships/image" Target="../media/image1.emf"/><Relationship Id="rId5" Type="http://schemas.openxmlformats.org/officeDocument/2006/relationships/oleObject" Target="../embeddings/oleObject1.bin"/><Relationship Id="rId4"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rgb="FF00B050"/>
    <pageSetUpPr fitToPage="1"/>
  </sheetPr>
  <dimension ref="A1:L189"/>
  <sheetViews>
    <sheetView showGridLines="0" zoomScale="85" zoomScaleNormal="85" workbookViewId="0">
      <selection activeCell="I192" sqref="I192"/>
    </sheetView>
  </sheetViews>
  <sheetFormatPr defaultRowHeight="12.75" x14ac:dyDescent="0.2"/>
  <cols>
    <col min="1" max="2" width="14.42578125" customWidth="1"/>
    <col min="3" max="11" width="8.5703125" customWidth="1"/>
    <col min="12" max="12" width="37.28515625" customWidth="1"/>
  </cols>
  <sheetData>
    <row r="1" spans="1:12" ht="38.65" customHeight="1" x14ac:dyDescent="0.2">
      <c r="A1" s="498" t="s">
        <v>63</v>
      </c>
      <c r="B1" s="499"/>
      <c r="C1" s="500" t="s">
        <v>980</v>
      </c>
      <c r="D1" s="500"/>
      <c r="E1" s="500"/>
      <c r="F1" s="500"/>
      <c r="G1" s="500"/>
      <c r="H1" s="500"/>
      <c r="I1" s="500"/>
      <c r="J1" s="500"/>
      <c r="K1" s="500"/>
    </row>
    <row r="2" spans="1:12" ht="26.65" customHeight="1" x14ac:dyDescent="0.25">
      <c r="A2" s="473" t="s">
        <v>218</v>
      </c>
      <c r="B2" s="473"/>
      <c r="C2" s="473"/>
      <c r="D2" s="473"/>
      <c r="E2" s="473"/>
      <c r="F2" s="473"/>
      <c r="G2" s="473"/>
      <c r="H2" s="473"/>
      <c r="I2" s="473"/>
      <c r="J2" s="473"/>
      <c r="K2" s="473"/>
    </row>
    <row r="3" spans="1:12" ht="26.1" customHeight="1" x14ac:dyDescent="0.2">
      <c r="A3" s="482" t="s">
        <v>219</v>
      </c>
      <c r="B3" s="483"/>
      <c r="C3" s="483"/>
      <c r="D3" s="483"/>
      <c r="E3" s="483"/>
      <c r="F3" s="483"/>
      <c r="G3" s="483"/>
      <c r="H3" s="483"/>
      <c r="I3" s="483"/>
      <c r="J3" s="483"/>
      <c r="K3" s="484"/>
    </row>
    <row r="4" spans="1:12" ht="81.599999999999994" customHeight="1" x14ac:dyDescent="0.2">
      <c r="A4" s="461" t="s">
        <v>375</v>
      </c>
      <c r="B4" s="467"/>
      <c r="C4" s="467"/>
      <c r="D4" s="467"/>
      <c r="E4" s="467"/>
      <c r="F4" s="467"/>
      <c r="G4" s="467"/>
      <c r="H4" s="467"/>
      <c r="I4" s="467"/>
      <c r="J4" s="467"/>
      <c r="K4" s="468"/>
    </row>
    <row r="5" spans="1:12" ht="110.65" customHeight="1" x14ac:dyDescent="0.2">
      <c r="A5" s="464" t="s">
        <v>244</v>
      </c>
      <c r="B5" s="485"/>
      <c r="C5" s="485"/>
      <c r="D5" s="485"/>
      <c r="E5" s="485"/>
      <c r="F5" s="485"/>
      <c r="G5" s="485"/>
      <c r="H5" s="485"/>
      <c r="I5" s="485"/>
      <c r="J5" s="485"/>
      <c r="K5" s="486"/>
    </row>
    <row r="6" spans="1:12" ht="35.65" customHeight="1" x14ac:dyDescent="0.3">
      <c r="A6" s="474" t="s">
        <v>193</v>
      </c>
      <c r="B6" s="475"/>
      <c r="C6" s="475"/>
      <c r="D6" s="475"/>
      <c r="E6" s="475"/>
      <c r="F6" s="475"/>
      <c r="G6" s="475"/>
      <c r="H6" s="475"/>
      <c r="I6" s="475"/>
      <c r="J6" s="475"/>
      <c r="K6" s="476"/>
    </row>
    <row r="7" spans="1:12" ht="137.65" customHeight="1" x14ac:dyDescent="0.2">
      <c r="A7" s="461" t="s">
        <v>705</v>
      </c>
      <c r="B7" s="462"/>
      <c r="C7" s="462"/>
      <c r="D7" s="462"/>
      <c r="E7" s="462"/>
      <c r="F7" s="462"/>
      <c r="G7" s="462"/>
      <c r="H7" s="462"/>
      <c r="I7" s="462"/>
      <c r="J7" s="462"/>
      <c r="K7" s="463"/>
    </row>
    <row r="8" spans="1:12" ht="56.65" customHeight="1" x14ac:dyDescent="0.2">
      <c r="A8" s="461" t="s">
        <v>611</v>
      </c>
      <c r="B8" s="462"/>
      <c r="C8" s="462"/>
      <c r="D8" s="462"/>
      <c r="E8" s="462"/>
      <c r="F8" s="462"/>
      <c r="G8" s="462"/>
      <c r="H8" s="462"/>
      <c r="I8" s="462"/>
      <c r="J8" s="462"/>
      <c r="K8" s="463"/>
    </row>
    <row r="9" spans="1:12" ht="31.35" customHeight="1" x14ac:dyDescent="0.25">
      <c r="A9" s="501" t="s">
        <v>383</v>
      </c>
      <c r="B9" s="502"/>
      <c r="C9" s="502"/>
      <c r="D9" s="502"/>
      <c r="E9" s="502"/>
      <c r="F9" s="502"/>
      <c r="G9" s="502"/>
      <c r="H9" s="502"/>
      <c r="I9" s="502"/>
      <c r="J9" s="502"/>
      <c r="K9" s="503"/>
    </row>
    <row r="10" spans="1:12" ht="31.35" customHeight="1" x14ac:dyDescent="0.2">
      <c r="A10" s="461" t="s">
        <v>819</v>
      </c>
      <c r="B10" s="462"/>
      <c r="C10" s="462"/>
      <c r="D10" s="462"/>
      <c r="E10" s="462"/>
      <c r="F10" s="462"/>
      <c r="G10" s="462"/>
      <c r="H10" s="462"/>
      <c r="I10" s="462"/>
      <c r="J10" s="462"/>
      <c r="K10" s="463"/>
    </row>
    <row r="11" spans="1:12" ht="79.349999999999994" customHeight="1" x14ac:dyDescent="0.2">
      <c r="A11" s="461" t="s">
        <v>925</v>
      </c>
      <c r="B11" s="462"/>
      <c r="C11" s="462"/>
      <c r="D11" s="462"/>
      <c r="E11" s="462"/>
      <c r="F11" s="462"/>
      <c r="G11" s="462"/>
      <c r="H11" s="462"/>
      <c r="I11" s="462"/>
      <c r="J11" s="462"/>
      <c r="K11" s="463"/>
    </row>
    <row r="12" spans="1:12" ht="56.1" customHeight="1" x14ac:dyDescent="0.2">
      <c r="A12" s="461" t="s">
        <v>820</v>
      </c>
      <c r="B12" s="462"/>
      <c r="C12" s="462"/>
      <c r="D12" s="462"/>
      <c r="E12" s="462"/>
      <c r="F12" s="462"/>
      <c r="G12" s="462"/>
      <c r="H12" s="462"/>
      <c r="I12" s="462"/>
      <c r="J12" s="462"/>
      <c r="K12" s="463"/>
    </row>
    <row r="13" spans="1:12" ht="140.1" customHeight="1" x14ac:dyDescent="0.2">
      <c r="A13" s="461" t="s">
        <v>612</v>
      </c>
      <c r="B13" s="462"/>
      <c r="C13" s="462"/>
      <c r="D13" s="462"/>
      <c r="E13" s="462"/>
      <c r="F13" s="462"/>
      <c r="G13" s="462"/>
      <c r="H13" s="462"/>
      <c r="I13" s="462"/>
      <c r="J13" s="462"/>
      <c r="K13" s="463"/>
    </row>
    <row r="14" spans="1:12" ht="69.599999999999994" customHeight="1" x14ac:dyDescent="0.2">
      <c r="A14" s="464" t="s">
        <v>466</v>
      </c>
      <c r="B14" s="465"/>
      <c r="C14" s="465"/>
      <c r="D14" s="465"/>
      <c r="E14" s="465"/>
      <c r="F14" s="465"/>
      <c r="G14" s="465"/>
      <c r="H14" s="465"/>
      <c r="I14" s="465"/>
      <c r="J14" s="465"/>
      <c r="K14" s="466"/>
    </row>
    <row r="15" spans="1:12" ht="30.6" customHeight="1" x14ac:dyDescent="0.25">
      <c r="A15" s="479" t="s">
        <v>446</v>
      </c>
      <c r="B15" s="480"/>
      <c r="C15" s="480"/>
      <c r="D15" s="480"/>
      <c r="E15" s="480"/>
      <c r="F15" s="480"/>
      <c r="G15" s="480"/>
      <c r="H15" s="480"/>
      <c r="I15" s="480"/>
      <c r="J15" s="480"/>
      <c r="K15" s="481"/>
    </row>
    <row r="16" spans="1:12" ht="41.1" customHeight="1" x14ac:dyDescent="0.2">
      <c r="A16" s="141"/>
      <c r="B16" s="477" t="s">
        <v>892</v>
      </c>
      <c r="C16" s="477"/>
      <c r="D16" s="477"/>
      <c r="E16" s="477"/>
      <c r="F16" s="477"/>
      <c r="G16" s="477"/>
      <c r="H16" s="477"/>
      <c r="I16" s="477"/>
      <c r="J16" s="477"/>
      <c r="K16" s="478"/>
      <c r="L16" s="336" t="s">
        <v>949</v>
      </c>
    </row>
    <row r="17" spans="1:12" ht="165.6" customHeight="1" x14ac:dyDescent="0.2">
      <c r="A17" s="142"/>
      <c r="B17" s="462" t="s">
        <v>909</v>
      </c>
      <c r="C17" s="477"/>
      <c r="D17" s="477"/>
      <c r="E17" s="477"/>
      <c r="F17" s="477"/>
      <c r="G17" s="477"/>
      <c r="H17" s="477"/>
      <c r="I17" s="477"/>
      <c r="J17" s="477"/>
      <c r="K17" s="478"/>
      <c r="L17" s="336" t="s">
        <v>950</v>
      </c>
    </row>
    <row r="18" spans="1:12" ht="74.099999999999994" customHeight="1" x14ac:dyDescent="0.2">
      <c r="A18" s="142"/>
      <c r="B18" s="477" t="s">
        <v>893</v>
      </c>
      <c r="C18" s="477"/>
      <c r="D18" s="477"/>
      <c r="E18" s="477"/>
      <c r="F18" s="477"/>
      <c r="G18" s="477"/>
      <c r="H18" s="477"/>
      <c r="I18" s="477"/>
      <c r="J18" s="477"/>
      <c r="K18" s="478"/>
      <c r="L18" s="336" t="s">
        <v>951</v>
      </c>
    </row>
    <row r="19" spans="1:12" ht="143.65" customHeight="1" x14ac:dyDescent="0.2">
      <c r="A19" s="142"/>
      <c r="B19" s="462" t="s">
        <v>894</v>
      </c>
      <c r="C19" s="477"/>
      <c r="D19" s="477"/>
      <c r="E19" s="477"/>
      <c r="F19" s="477"/>
      <c r="G19" s="477"/>
      <c r="H19" s="477"/>
      <c r="I19" s="477"/>
      <c r="J19" s="477"/>
      <c r="K19" s="478"/>
      <c r="L19" s="336" t="s">
        <v>952</v>
      </c>
    </row>
    <row r="20" spans="1:12" ht="51.6" customHeight="1" x14ac:dyDescent="0.2">
      <c r="A20" s="142"/>
      <c r="B20" s="462" t="s">
        <v>613</v>
      </c>
      <c r="C20" s="462"/>
      <c r="D20" s="462"/>
      <c r="E20" s="462"/>
      <c r="F20" s="462"/>
      <c r="G20" s="462"/>
      <c r="H20" s="462"/>
      <c r="I20" s="462"/>
      <c r="J20" s="462"/>
      <c r="K20" s="463"/>
      <c r="L20" s="337" t="s">
        <v>953</v>
      </c>
    </row>
    <row r="21" spans="1:12" ht="101.65" customHeight="1" x14ac:dyDescent="0.2">
      <c r="A21" s="142"/>
      <c r="B21" s="462" t="s">
        <v>895</v>
      </c>
      <c r="C21" s="462"/>
      <c r="D21" s="462"/>
      <c r="E21" s="462"/>
      <c r="F21" s="462"/>
      <c r="G21" s="462"/>
      <c r="H21" s="462"/>
      <c r="I21" s="462"/>
      <c r="J21" s="462"/>
      <c r="K21" s="463"/>
      <c r="L21" s="336" t="s">
        <v>954</v>
      </c>
    </row>
    <row r="22" spans="1:12" ht="69.599999999999994" customHeight="1" x14ac:dyDescent="0.2">
      <c r="A22" s="142"/>
      <c r="B22" s="462" t="s">
        <v>527</v>
      </c>
      <c r="C22" s="462"/>
      <c r="D22" s="462"/>
      <c r="E22" s="462"/>
      <c r="F22" s="462"/>
      <c r="G22" s="462"/>
      <c r="H22" s="462"/>
      <c r="I22" s="462"/>
      <c r="J22" s="462"/>
      <c r="K22" s="463"/>
      <c r="L22" s="336" t="s">
        <v>955</v>
      </c>
    </row>
    <row r="23" spans="1:12" ht="63.6" customHeight="1" x14ac:dyDescent="0.2">
      <c r="A23" s="142"/>
      <c r="B23" s="462" t="s">
        <v>821</v>
      </c>
      <c r="C23" s="462"/>
      <c r="D23" s="462"/>
      <c r="E23" s="462"/>
      <c r="F23" s="462"/>
      <c r="G23" s="462"/>
      <c r="H23" s="462"/>
      <c r="I23" s="462"/>
      <c r="J23" s="462"/>
      <c r="K23" s="463"/>
      <c r="L23" s="336" t="s">
        <v>956</v>
      </c>
    </row>
    <row r="24" spans="1:12" ht="77.650000000000006" customHeight="1" x14ac:dyDescent="0.2">
      <c r="A24" s="461" t="s">
        <v>614</v>
      </c>
      <c r="B24" s="462"/>
      <c r="C24" s="462"/>
      <c r="D24" s="462"/>
      <c r="E24" s="462"/>
      <c r="F24" s="462"/>
      <c r="G24" s="462"/>
      <c r="H24" s="462"/>
      <c r="I24" s="462"/>
      <c r="J24" s="462"/>
      <c r="K24" s="463"/>
    </row>
    <row r="25" spans="1:12" ht="60" customHeight="1" x14ac:dyDescent="0.2">
      <c r="A25" s="461" t="s">
        <v>32</v>
      </c>
      <c r="B25" s="462"/>
      <c r="C25" s="462"/>
      <c r="D25" s="462"/>
      <c r="E25" s="462"/>
      <c r="F25" s="462"/>
      <c r="G25" s="462"/>
      <c r="H25" s="462"/>
      <c r="I25" s="462"/>
      <c r="J25" s="462"/>
      <c r="K25" s="463"/>
    </row>
    <row r="26" spans="1:12" ht="112.35" customHeight="1" x14ac:dyDescent="0.2">
      <c r="A26" s="461" t="s">
        <v>896</v>
      </c>
      <c r="B26" s="462"/>
      <c r="C26" s="462"/>
      <c r="D26" s="462"/>
      <c r="E26" s="462"/>
      <c r="F26" s="462"/>
      <c r="G26" s="462"/>
      <c r="H26" s="462"/>
      <c r="I26" s="462"/>
      <c r="J26" s="462"/>
      <c r="K26" s="463"/>
    </row>
    <row r="27" spans="1:12" ht="109.35" customHeight="1" x14ac:dyDescent="0.2">
      <c r="A27" s="461" t="s">
        <v>822</v>
      </c>
      <c r="B27" s="467"/>
      <c r="C27" s="467"/>
      <c r="D27" s="467"/>
      <c r="E27" s="467"/>
      <c r="F27" s="467"/>
      <c r="G27" s="467"/>
      <c r="H27" s="467"/>
      <c r="I27" s="467"/>
      <c r="J27" s="467"/>
      <c r="K27" s="468"/>
    </row>
    <row r="28" spans="1:12" ht="73.349999999999994" customHeight="1" x14ac:dyDescent="0.2">
      <c r="A28" s="461" t="s">
        <v>615</v>
      </c>
      <c r="B28" s="462"/>
      <c r="C28" s="462"/>
      <c r="D28" s="462"/>
      <c r="E28" s="462"/>
      <c r="F28" s="462"/>
      <c r="G28" s="462"/>
      <c r="H28" s="462"/>
      <c r="I28" s="462"/>
      <c r="J28" s="462"/>
      <c r="K28" s="463"/>
    </row>
    <row r="29" spans="1:12" ht="183.6" customHeight="1" x14ac:dyDescent="0.2">
      <c r="A29" s="464" t="s">
        <v>616</v>
      </c>
      <c r="B29" s="465"/>
      <c r="C29" s="465"/>
      <c r="D29" s="465"/>
      <c r="E29" s="465"/>
      <c r="F29" s="465"/>
      <c r="G29" s="465"/>
      <c r="H29" s="465"/>
      <c r="I29" s="465"/>
      <c r="J29" s="465"/>
      <c r="K29" s="466"/>
    </row>
    <row r="30" spans="1:12" ht="40.5" customHeight="1" x14ac:dyDescent="0.3">
      <c r="A30" s="487" t="s">
        <v>33</v>
      </c>
      <c r="B30" s="488"/>
      <c r="C30" s="488"/>
      <c r="D30" s="488"/>
      <c r="E30" s="488"/>
      <c r="F30" s="488"/>
      <c r="G30" s="488"/>
      <c r="H30" s="488"/>
      <c r="I30" s="488"/>
      <c r="J30" s="488"/>
      <c r="K30" s="489"/>
    </row>
    <row r="31" spans="1:12" ht="125.65" customHeight="1" x14ac:dyDescent="0.2">
      <c r="A31" s="461" t="s">
        <v>493</v>
      </c>
      <c r="B31" s="462"/>
      <c r="C31" s="462"/>
      <c r="D31" s="462"/>
      <c r="E31" s="462"/>
      <c r="F31" s="462"/>
      <c r="G31" s="462"/>
      <c r="H31" s="462"/>
      <c r="I31" s="462"/>
      <c r="J31" s="462"/>
      <c r="K31" s="463"/>
    </row>
    <row r="32" spans="1:12" ht="63" customHeight="1" x14ac:dyDescent="0.2">
      <c r="A32" s="461" t="s">
        <v>449</v>
      </c>
      <c r="B32" s="462"/>
      <c r="C32" s="462"/>
      <c r="D32" s="462"/>
      <c r="E32" s="462"/>
      <c r="F32" s="462"/>
      <c r="G32" s="462"/>
      <c r="H32" s="462"/>
      <c r="I32" s="462"/>
      <c r="J32" s="462"/>
      <c r="K32" s="463"/>
    </row>
    <row r="33" spans="1:11" ht="71.099999999999994" customHeight="1" x14ac:dyDescent="0.2">
      <c r="A33" s="461" t="s">
        <v>447</v>
      </c>
      <c r="B33" s="462"/>
      <c r="C33" s="462"/>
      <c r="D33" s="462"/>
      <c r="E33" s="462"/>
      <c r="F33" s="462"/>
      <c r="G33" s="462"/>
      <c r="H33" s="462"/>
      <c r="I33" s="462"/>
      <c r="J33" s="462"/>
      <c r="K33" s="463"/>
    </row>
    <row r="34" spans="1:11" ht="128.65" customHeight="1" x14ac:dyDescent="0.2">
      <c r="A34" s="461" t="s">
        <v>609</v>
      </c>
      <c r="B34" s="462"/>
      <c r="C34" s="462"/>
      <c r="D34" s="462"/>
      <c r="E34" s="462"/>
      <c r="F34" s="462"/>
      <c r="G34" s="462"/>
      <c r="H34" s="462"/>
      <c r="I34" s="462"/>
      <c r="J34" s="462"/>
      <c r="K34" s="463"/>
    </row>
    <row r="35" spans="1:11" ht="78.599999999999994" customHeight="1" x14ac:dyDescent="0.2">
      <c r="A35" s="461" t="s">
        <v>617</v>
      </c>
      <c r="B35" s="462"/>
      <c r="C35" s="462"/>
      <c r="D35" s="462"/>
      <c r="E35" s="462"/>
      <c r="F35" s="462"/>
      <c r="G35" s="462"/>
      <c r="H35" s="462"/>
      <c r="I35" s="462"/>
      <c r="J35" s="462"/>
      <c r="K35" s="463"/>
    </row>
    <row r="36" spans="1:11" ht="131.1" customHeight="1" x14ac:dyDescent="0.3">
      <c r="A36" s="461" t="s">
        <v>330</v>
      </c>
      <c r="B36" s="462"/>
      <c r="C36" s="462"/>
      <c r="D36" s="462"/>
      <c r="E36" s="462"/>
      <c r="F36" s="462"/>
      <c r="G36" s="462"/>
      <c r="H36" s="462"/>
      <c r="I36" s="462"/>
      <c r="J36" s="462"/>
      <c r="K36" s="463"/>
    </row>
    <row r="37" spans="1:11" ht="28.5" customHeight="1" x14ac:dyDescent="0.3">
      <c r="A37" s="474" t="s">
        <v>171</v>
      </c>
      <c r="B37" s="475"/>
      <c r="C37" s="475"/>
      <c r="D37" s="475"/>
      <c r="E37" s="475"/>
      <c r="F37" s="475"/>
      <c r="G37" s="475"/>
      <c r="H37" s="475"/>
      <c r="I37" s="475"/>
      <c r="J37" s="475"/>
      <c r="K37" s="476"/>
    </row>
    <row r="38" spans="1:11" ht="117" customHeight="1" x14ac:dyDescent="0.2">
      <c r="A38" s="461" t="s">
        <v>610</v>
      </c>
      <c r="B38" s="467"/>
      <c r="C38" s="467"/>
      <c r="D38" s="467"/>
      <c r="E38" s="467"/>
      <c r="F38" s="467"/>
      <c r="G38" s="467"/>
      <c r="H38" s="467"/>
      <c r="I38" s="467"/>
      <c r="J38" s="467"/>
      <c r="K38" s="468"/>
    </row>
    <row r="39" spans="1:11" ht="58.35" customHeight="1" x14ac:dyDescent="0.2">
      <c r="A39" s="461" t="s">
        <v>897</v>
      </c>
      <c r="B39" s="462"/>
      <c r="C39" s="462"/>
      <c r="D39" s="462"/>
      <c r="E39" s="462"/>
      <c r="F39" s="462"/>
      <c r="G39" s="462"/>
      <c r="H39" s="462"/>
      <c r="I39" s="462"/>
      <c r="J39" s="462"/>
      <c r="K39" s="463"/>
    </row>
    <row r="40" spans="1:11" ht="100.35" customHeight="1" x14ac:dyDescent="0.2">
      <c r="A40" s="461" t="s">
        <v>618</v>
      </c>
      <c r="B40" s="462"/>
      <c r="C40" s="462"/>
      <c r="D40" s="462"/>
      <c r="E40" s="462"/>
      <c r="F40" s="462"/>
      <c r="G40" s="462"/>
      <c r="H40" s="462"/>
      <c r="I40" s="462"/>
      <c r="J40" s="462"/>
      <c r="K40" s="463"/>
    </row>
    <row r="41" spans="1:11" ht="63" customHeight="1" x14ac:dyDescent="0.2">
      <c r="A41" s="461" t="s">
        <v>448</v>
      </c>
      <c r="B41" s="462"/>
      <c r="C41" s="462"/>
      <c r="D41" s="462"/>
      <c r="E41" s="462"/>
      <c r="F41" s="462"/>
      <c r="G41" s="462"/>
      <c r="H41" s="462"/>
      <c r="I41" s="462"/>
      <c r="J41" s="462"/>
      <c r="K41" s="463"/>
    </row>
    <row r="42" spans="1:11" ht="114.6" customHeight="1" x14ac:dyDescent="0.2">
      <c r="A42" s="461" t="s">
        <v>492</v>
      </c>
      <c r="B42" s="467"/>
      <c r="C42" s="467"/>
      <c r="D42" s="467"/>
      <c r="E42" s="467"/>
      <c r="F42" s="467"/>
      <c r="G42" s="467"/>
      <c r="H42" s="467"/>
      <c r="I42" s="467"/>
      <c r="J42" s="467"/>
      <c r="K42" s="468"/>
    </row>
    <row r="43" spans="1:11" ht="66.599999999999994" customHeight="1" x14ac:dyDescent="0.2">
      <c r="A43" s="461" t="s">
        <v>683</v>
      </c>
      <c r="B43" s="462"/>
      <c r="C43" s="462"/>
      <c r="D43" s="462"/>
      <c r="E43" s="462"/>
      <c r="F43" s="462"/>
      <c r="G43" s="462"/>
      <c r="H43" s="462"/>
      <c r="I43" s="462"/>
      <c r="J43" s="462"/>
      <c r="K43" s="463"/>
    </row>
    <row r="44" spans="1:11" ht="106.9" customHeight="1" x14ac:dyDescent="0.2">
      <c r="A44" s="461" t="s">
        <v>942</v>
      </c>
      <c r="B44" s="462"/>
      <c r="C44" s="462"/>
      <c r="D44" s="462"/>
      <c r="E44" s="462"/>
      <c r="F44" s="462"/>
      <c r="G44" s="462"/>
      <c r="H44" s="462"/>
      <c r="I44" s="462"/>
      <c r="J44" s="462"/>
      <c r="K44" s="463"/>
    </row>
    <row r="45" spans="1:11" ht="62.65" customHeight="1" x14ac:dyDescent="0.2">
      <c r="A45" s="461" t="s">
        <v>899</v>
      </c>
      <c r="B45" s="462"/>
      <c r="C45" s="462"/>
      <c r="D45" s="462"/>
      <c r="E45" s="462"/>
      <c r="F45" s="462"/>
      <c r="G45" s="462"/>
      <c r="H45" s="462"/>
      <c r="I45" s="462"/>
      <c r="J45" s="462"/>
      <c r="K45" s="463"/>
    </row>
    <row r="46" spans="1:11" ht="110.65" customHeight="1" x14ac:dyDescent="0.2">
      <c r="A46" s="461" t="s">
        <v>823</v>
      </c>
      <c r="B46" s="462"/>
      <c r="C46" s="462"/>
      <c r="D46" s="462"/>
      <c r="E46" s="462"/>
      <c r="F46" s="462"/>
      <c r="G46" s="462"/>
      <c r="H46" s="462"/>
      <c r="I46" s="462"/>
      <c r="J46" s="462"/>
      <c r="K46" s="463"/>
    </row>
    <row r="47" spans="1:11" ht="49.35" customHeight="1" x14ac:dyDescent="0.2">
      <c r="A47" s="464" t="s">
        <v>900</v>
      </c>
      <c r="B47" s="465"/>
      <c r="C47" s="465"/>
      <c r="D47" s="465"/>
      <c r="E47" s="465"/>
      <c r="F47" s="465"/>
      <c r="G47" s="465"/>
      <c r="H47" s="465"/>
      <c r="I47" s="465"/>
      <c r="J47" s="465"/>
      <c r="K47" s="466"/>
    </row>
    <row r="48" spans="1:11" ht="33.75" customHeight="1" x14ac:dyDescent="0.25">
      <c r="A48" s="506" t="s">
        <v>901</v>
      </c>
      <c r="B48" s="507"/>
      <c r="C48" s="507"/>
      <c r="D48" s="507"/>
      <c r="E48" s="507"/>
      <c r="F48" s="507"/>
      <c r="G48" s="507"/>
      <c r="H48" s="507"/>
      <c r="I48" s="507"/>
      <c r="J48" s="507"/>
      <c r="K48" s="508"/>
    </row>
    <row r="49" spans="1:11" ht="44.25" customHeight="1" x14ac:dyDescent="0.2">
      <c r="A49" s="461" t="s">
        <v>619</v>
      </c>
      <c r="B49" s="462"/>
      <c r="C49" s="462"/>
      <c r="D49" s="462"/>
      <c r="E49" s="462"/>
      <c r="F49" s="462"/>
      <c r="G49" s="462"/>
      <c r="H49" s="462"/>
      <c r="I49" s="462"/>
      <c r="J49" s="462"/>
      <c r="K49" s="463"/>
    </row>
    <row r="50" spans="1:11" ht="75" customHeight="1" x14ac:dyDescent="0.2">
      <c r="A50" s="461" t="s">
        <v>358</v>
      </c>
      <c r="B50" s="462"/>
      <c r="C50" s="462"/>
      <c r="D50" s="462"/>
      <c r="E50" s="462"/>
      <c r="F50" s="462"/>
      <c r="G50" s="462"/>
      <c r="H50" s="462"/>
      <c r="I50" s="462"/>
      <c r="J50" s="462"/>
      <c r="K50" s="463"/>
    </row>
    <row r="51" spans="1:11" ht="72.75" customHeight="1" x14ac:dyDescent="0.2">
      <c r="A51" s="461" t="s">
        <v>452</v>
      </c>
      <c r="B51" s="462"/>
      <c r="C51" s="462"/>
      <c r="D51" s="462"/>
      <c r="E51" s="462"/>
      <c r="F51" s="462"/>
      <c r="G51" s="462"/>
      <c r="H51" s="462"/>
      <c r="I51" s="462"/>
      <c r="J51" s="462"/>
      <c r="K51" s="463"/>
    </row>
    <row r="52" spans="1:11" ht="67.349999999999994" customHeight="1" x14ac:dyDescent="0.2">
      <c r="A52" s="461" t="s">
        <v>530</v>
      </c>
      <c r="B52" s="467"/>
      <c r="C52" s="467"/>
      <c r="D52" s="467"/>
      <c r="E52" s="467"/>
      <c r="F52" s="467"/>
      <c r="G52" s="467"/>
      <c r="H52" s="467"/>
      <c r="I52" s="467"/>
      <c r="J52" s="467"/>
      <c r="K52" s="468"/>
    </row>
    <row r="53" spans="1:11" ht="130.35" customHeight="1" x14ac:dyDescent="0.2">
      <c r="A53" s="461" t="s">
        <v>357</v>
      </c>
      <c r="B53" s="462"/>
      <c r="C53" s="462"/>
      <c r="D53" s="462"/>
      <c r="E53" s="462"/>
      <c r="F53" s="462"/>
      <c r="G53" s="462"/>
      <c r="H53" s="462"/>
      <c r="I53" s="462"/>
      <c r="J53" s="462"/>
      <c r="K53" s="463"/>
    </row>
    <row r="54" spans="1:11" ht="74.099999999999994" customHeight="1" x14ac:dyDescent="0.2">
      <c r="A54" s="461" t="s">
        <v>455</v>
      </c>
      <c r="B54" s="467"/>
      <c r="C54" s="467"/>
      <c r="D54" s="467"/>
      <c r="E54" s="467"/>
      <c r="F54" s="467"/>
      <c r="G54" s="467"/>
      <c r="H54" s="467"/>
      <c r="I54" s="467"/>
      <c r="J54" s="467"/>
      <c r="K54" s="468"/>
    </row>
    <row r="55" spans="1:11" ht="71.099999999999994" customHeight="1" x14ac:dyDescent="0.2">
      <c r="A55" s="461" t="s">
        <v>620</v>
      </c>
      <c r="B55" s="462"/>
      <c r="C55" s="462"/>
      <c r="D55" s="462"/>
      <c r="E55" s="462"/>
      <c r="F55" s="462"/>
      <c r="G55" s="462"/>
      <c r="H55" s="462"/>
      <c r="I55" s="462"/>
      <c r="J55" s="462"/>
      <c r="K55" s="463"/>
    </row>
    <row r="56" spans="1:11" ht="59.25" customHeight="1" x14ac:dyDescent="0.2">
      <c r="A56" s="461" t="s">
        <v>621</v>
      </c>
      <c r="B56" s="462"/>
      <c r="C56" s="462"/>
      <c r="D56" s="462"/>
      <c r="E56" s="462"/>
      <c r="F56" s="462"/>
      <c r="G56" s="462"/>
      <c r="H56" s="462"/>
      <c r="I56" s="462"/>
      <c r="J56" s="462"/>
      <c r="K56" s="463"/>
    </row>
    <row r="57" spans="1:11" ht="42" customHeight="1" x14ac:dyDescent="0.2">
      <c r="A57" s="461" t="s">
        <v>622</v>
      </c>
      <c r="B57" s="462"/>
      <c r="C57" s="462"/>
      <c r="D57" s="462"/>
      <c r="E57" s="462"/>
      <c r="F57" s="462"/>
      <c r="G57" s="462"/>
      <c r="H57" s="462"/>
      <c r="I57" s="462"/>
      <c r="J57" s="462"/>
      <c r="K57" s="463"/>
    </row>
    <row r="58" spans="1:11" ht="31.5" customHeight="1" x14ac:dyDescent="0.3">
      <c r="A58" s="474" t="s">
        <v>64</v>
      </c>
      <c r="B58" s="475"/>
      <c r="C58" s="475"/>
      <c r="D58" s="475"/>
      <c r="E58" s="475"/>
      <c r="F58" s="475"/>
      <c r="G58" s="475"/>
      <c r="H58" s="475"/>
      <c r="I58" s="475"/>
      <c r="J58" s="475"/>
      <c r="K58" s="476"/>
    </row>
    <row r="59" spans="1:11" ht="51" customHeight="1" x14ac:dyDescent="0.2">
      <c r="A59" s="461" t="s">
        <v>451</v>
      </c>
      <c r="B59" s="467"/>
      <c r="C59" s="467"/>
      <c r="D59" s="467"/>
      <c r="E59" s="467"/>
      <c r="F59" s="467"/>
      <c r="G59" s="467"/>
      <c r="H59" s="467"/>
      <c r="I59" s="467"/>
      <c r="J59" s="467"/>
      <c r="K59" s="468"/>
    </row>
    <row r="60" spans="1:11" ht="70.349999999999994" customHeight="1" x14ac:dyDescent="0.2">
      <c r="A60" s="461" t="s">
        <v>902</v>
      </c>
      <c r="B60" s="462"/>
      <c r="C60" s="462"/>
      <c r="D60" s="462"/>
      <c r="E60" s="462"/>
      <c r="F60" s="462"/>
      <c r="G60" s="462"/>
      <c r="H60" s="462"/>
      <c r="I60" s="462"/>
      <c r="J60" s="462"/>
      <c r="K60" s="463"/>
    </row>
    <row r="61" spans="1:11" ht="56.1" customHeight="1" x14ac:dyDescent="0.2">
      <c r="A61" s="461" t="s">
        <v>623</v>
      </c>
      <c r="B61" s="462"/>
      <c r="C61" s="462"/>
      <c r="D61" s="462"/>
      <c r="E61" s="462"/>
      <c r="F61" s="462"/>
      <c r="G61" s="462"/>
      <c r="H61" s="462"/>
      <c r="I61" s="462"/>
      <c r="J61" s="462"/>
      <c r="K61" s="463"/>
    </row>
    <row r="62" spans="1:11" ht="81.599999999999994" customHeight="1" x14ac:dyDescent="0.2">
      <c r="A62" s="461" t="s">
        <v>903</v>
      </c>
      <c r="B62" s="462"/>
      <c r="C62" s="462"/>
      <c r="D62" s="462"/>
      <c r="E62" s="462"/>
      <c r="F62" s="462"/>
      <c r="G62" s="462"/>
      <c r="H62" s="462"/>
      <c r="I62" s="462"/>
      <c r="J62" s="462"/>
      <c r="K62" s="463"/>
    </row>
    <row r="63" spans="1:11" ht="75" customHeight="1" x14ac:dyDescent="0.2">
      <c r="A63" s="461" t="s">
        <v>624</v>
      </c>
      <c r="B63" s="467"/>
      <c r="C63" s="467"/>
      <c r="D63" s="467"/>
      <c r="E63" s="467"/>
      <c r="F63" s="467"/>
      <c r="G63" s="467"/>
      <c r="H63" s="467"/>
      <c r="I63" s="467"/>
      <c r="J63" s="467"/>
      <c r="K63" s="468"/>
    </row>
    <row r="64" spans="1:11" ht="69" customHeight="1" x14ac:dyDescent="0.2">
      <c r="A64" s="461" t="s">
        <v>461</v>
      </c>
      <c r="B64" s="467"/>
      <c r="C64" s="467"/>
      <c r="D64" s="467"/>
      <c r="E64" s="467"/>
      <c r="F64" s="467"/>
      <c r="G64" s="467"/>
      <c r="H64" s="467"/>
      <c r="I64" s="467"/>
      <c r="J64" s="467"/>
      <c r="K64" s="468"/>
    </row>
    <row r="65" spans="1:11" ht="69" customHeight="1" x14ac:dyDescent="0.2">
      <c r="A65" s="461" t="s">
        <v>904</v>
      </c>
      <c r="B65" s="462"/>
      <c r="C65" s="462"/>
      <c r="D65" s="462"/>
      <c r="E65" s="462"/>
      <c r="F65" s="462"/>
      <c r="G65" s="462"/>
      <c r="H65" s="462"/>
      <c r="I65" s="462"/>
      <c r="J65" s="462"/>
      <c r="K65" s="463"/>
    </row>
    <row r="66" spans="1:11" ht="74.650000000000006" customHeight="1" x14ac:dyDescent="0.2">
      <c r="A66" s="461" t="s">
        <v>625</v>
      </c>
      <c r="B66" s="462"/>
      <c r="C66" s="462"/>
      <c r="D66" s="462"/>
      <c r="E66" s="462"/>
      <c r="F66" s="462"/>
      <c r="G66" s="462"/>
      <c r="H66" s="462"/>
      <c r="I66" s="462"/>
      <c r="J66" s="462"/>
      <c r="K66" s="463"/>
    </row>
    <row r="67" spans="1:11" ht="32.1" customHeight="1" x14ac:dyDescent="0.2">
      <c r="A67" s="461" t="s">
        <v>685</v>
      </c>
      <c r="B67" s="462"/>
      <c r="C67" s="462"/>
      <c r="D67" s="462"/>
      <c r="E67" s="462"/>
      <c r="F67" s="462"/>
      <c r="G67" s="462"/>
      <c r="H67" s="462"/>
      <c r="I67" s="462"/>
      <c r="J67" s="462"/>
      <c r="K67" s="463"/>
    </row>
    <row r="68" spans="1:11" ht="43.35" customHeight="1" x14ac:dyDescent="0.2">
      <c r="A68" s="461" t="s">
        <v>626</v>
      </c>
      <c r="B68" s="462"/>
      <c r="C68" s="462"/>
      <c r="D68" s="462"/>
      <c r="E68" s="462"/>
      <c r="F68" s="462"/>
      <c r="G68" s="462"/>
      <c r="H68" s="462"/>
      <c r="I68" s="462"/>
      <c r="J68" s="462"/>
      <c r="K68" s="463"/>
    </row>
    <row r="69" spans="1:11" ht="45.6" customHeight="1" x14ac:dyDescent="0.2">
      <c r="A69" s="461" t="s">
        <v>627</v>
      </c>
      <c r="B69" s="462"/>
      <c r="C69" s="462"/>
      <c r="D69" s="462"/>
      <c r="E69" s="462"/>
      <c r="F69" s="462"/>
      <c r="G69" s="462"/>
      <c r="H69" s="462"/>
      <c r="I69" s="462"/>
      <c r="J69" s="462"/>
      <c r="K69" s="463"/>
    </row>
    <row r="70" spans="1:11" ht="86.1" customHeight="1" x14ac:dyDescent="0.2">
      <c r="A70" s="461" t="s">
        <v>628</v>
      </c>
      <c r="B70" s="467"/>
      <c r="C70" s="467"/>
      <c r="D70" s="467"/>
      <c r="E70" s="467"/>
      <c r="F70" s="467"/>
      <c r="G70" s="467"/>
      <c r="H70" s="467"/>
      <c r="I70" s="467"/>
      <c r="J70" s="467"/>
      <c r="K70" s="468"/>
    </row>
    <row r="71" spans="1:11" ht="84.6" customHeight="1" x14ac:dyDescent="0.2">
      <c r="A71" s="461" t="s">
        <v>629</v>
      </c>
      <c r="B71" s="467"/>
      <c r="C71" s="467"/>
      <c r="D71" s="467"/>
      <c r="E71" s="467"/>
      <c r="F71" s="467"/>
      <c r="G71" s="467"/>
      <c r="H71" s="467"/>
      <c r="I71" s="467"/>
      <c r="J71" s="467"/>
      <c r="K71" s="468"/>
    </row>
    <row r="72" spans="1:11" ht="62.65" customHeight="1" x14ac:dyDescent="0.2">
      <c r="A72" s="461" t="s">
        <v>607</v>
      </c>
      <c r="B72" s="462"/>
      <c r="C72" s="462"/>
      <c r="D72" s="462"/>
      <c r="E72" s="462"/>
      <c r="F72" s="462"/>
      <c r="G72" s="462"/>
      <c r="H72" s="462"/>
      <c r="I72" s="462"/>
      <c r="J72" s="462"/>
      <c r="K72" s="463"/>
    </row>
    <row r="73" spans="1:11" ht="82.35" customHeight="1" x14ac:dyDescent="0.2">
      <c r="A73" s="461" t="s">
        <v>630</v>
      </c>
      <c r="B73" s="462"/>
      <c r="C73" s="462"/>
      <c r="D73" s="462"/>
      <c r="E73" s="462"/>
      <c r="F73" s="462"/>
      <c r="G73" s="462"/>
      <c r="H73" s="462"/>
      <c r="I73" s="462"/>
      <c r="J73" s="462"/>
      <c r="K73" s="463"/>
    </row>
    <row r="74" spans="1:11" ht="68.650000000000006" customHeight="1" x14ac:dyDescent="0.2">
      <c r="A74" s="461" t="s">
        <v>860</v>
      </c>
      <c r="B74" s="462"/>
      <c r="C74" s="462"/>
      <c r="D74" s="462"/>
      <c r="E74" s="462"/>
      <c r="F74" s="462"/>
      <c r="G74" s="462"/>
      <c r="H74" s="462"/>
      <c r="I74" s="462"/>
      <c r="J74" s="462"/>
      <c r="K74" s="463"/>
    </row>
    <row r="75" spans="1:11" ht="98.1" customHeight="1" x14ac:dyDescent="0.2">
      <c r="A75" s="461" t="s">
        <v>905</v>
      </c>
      <c r="B75" s="467"/>
      <c r="C75" s="467"/>
      <c r="D75" s="467"/>
      <c r="E75" s="467"/>
      <c r="F75" s="467"/>
      <c r="G75" s="467"/>
      <c r="H75" s="467"/>
      <c r="I75" s="467"/>
      <c r="J75" s="467"/>
      <c r="K75" s="468"/>
    </row>
    <row r="76" spans="1:11" ht="97.35" customHeight="1" x14ac:dyDescent="0.2">
      <c r="A76" s="461" t="s">
        <v>596</v>
      </c>
      <c r="B76" s="462"/>
      <c r="C76" s="462"/>
      <c r="D76" s="462"/>
      <c r="E76" s="462"/>
      <c r="F76" s="462"/>
      <c r="G76" s="462"/>
      <c r="H76" s="462"/>
      <c r="I76" s="462"/>
      <c r="J76" s="462"/>
      <c r="K76" s="463"/>
    </row>
    <row r="77" spans="1:11" ht="175.35" customHeight="1" x14ac:dyDescent="0.2">
      <c r="A77" s="461" t="s">
        <v>824</v>
      </c>
      <c r="B77" s="467"/>
      <c r="C77" s="467"/>
      <c r="D77" s="467"/>
      <c r="E77" s="467"/>
      <c r="F77" s="467"/>
      <c r="G77" s="467"/>
      <c r="H77" s="467"/>
      <c r="I77" s="467"/>
      <c r="J77" s="467"/>
      <c r="K77" s="468"/>
    </row>
    <row r="78" spans="1:11" ht="83.65" customHeight="1" x14ac:dyDescent="0.2">
      <c r="A78" s="461" t="s">
        <v>631</v>
      </c>
      <c r="B78" s="462"/>
      <c r="C78" s="462"/>
      <c r="D78" s="462"/>
      <c r="E78" s="462"/>
      <c r="F78" s="462"/>
      <c r="G78" s="462"/>
      <c r="H78" s="462"/>
      <c r="I78" s="462"/>
      <c r="J78" s="462"/>
      <c r="K78" s="463"/>
    </row>
    <row r="79" spans="1:11" ht="62.1" customHeight="1" x14ac:dyDescent="0.2">
      <c r="A79" s="461" t="s">
        <v>632</v>
      </c>
      <c r="B79" s="467"/>
      <c r="C79" s="467"/>
      <c r="D79" s="467"/>
      <c r="E79" s="467"/>
      <c r="F79" s="467"/>
      <c r="G79" s="467"/>
      <c r="H79" s="467"/>
      <c r="I79" s="467"/>
      <c r="J79" s="467"/>
      <c r="K79" s="468"/>
    </row>
    <row r="80" spans="1:11" ht="111.6" customHeight="1" x14ac:dyDescent="0.2">
      <c r="A80" s="461" t="s">
        <v>633</v>
      </c>
      <c r="B80" s="467"/>
      <c r="C80" s="467"/>
      <c r="D80" s="467"/>
      <c r="E80" s="467"/>
      <c r="F80" s="467"/>
      <c r="G80" s="467"/>
      <c r="H80" s="467"/>
      <c r="I80" s="467"/>
      <c r="J80" s="467"/>
      <c r="K80" s="468"/>
    </row>
    <row r="81" spans="1:11" ht="29.1" customHeight="1" x14ac:dyDescent="0.2">
      <c r="A81" s="464" t="s">
        <v>597</v>
      </c>
      <c r="B81" s="465"/>
      <c r="C81" s="465"/>
      <c r="D81" s="465"/>
      <c r="E81" s="465"/>
      <c r="F81" s="465"/>
      <c r="G81" s="465"/>
      <c r="H81" s="465"/>
      <c r="I81" s="465"/>
      <c r="J81" s="465"/>
      <c r="K81" s="466"/>
    </row>
    <row r="82" spans="1:11" ht="34.35" customHeight="1" x14ac:dyDescent="0.3">
      <c r="A82" s="474" t="s">
        <v>598</v>
      </c>
      <c r="B82" s="475"/>
      <c r="C82" s="475"/>
      <c r="D82" s="475"/>
      <c r="E82" s="475"/>
      <c r="F82" s="475"/>
      <c r="G82" s="475"/>
      <c r="H82" s="475"/>
      <c r="I82" s="475"/>
      <c r="J82" s="475"/>
      <c r="K82" s="476"/>
    </row>
    <row r="83" spans="1:11" ht="33.6" customHeight="1" x14ac:dyDescent="0.2">
      <c r="A83" s="461" t="s">
        <v>634</v>
      </c>
      <c r="B83" s="467"/>
      <c r="C83" s="467"/>
      <c r="D83" s="467"/>
      <c r="E83" s="467"/>
      <c r="F83" s="467"/>
      <c r="G83" s="467"/>
      <c r="H83" s="467"/>
      <c r="I83" s="467"/>
      <c r="J83" s="467"/>
      <c r="K83" s="468"/>
    </row>
    <row r="84" spans="1:11" ht="76.349999999999994" customHeight="1" x14ac:dyDescent="0.2">
      <c r="A84" s="461" t="s">
        <v>635</v>
      </c>
      <c r="B84" s="462"/>
      <c r="C84" s="462"/>
      <c r="D84" s="462"/>
      <c r="E84" s="462"/>
      <c r="F84" s="462"/>
      <c r="G84" s="462"/>
      <c r="H84" s="462"/>
      <c r="I84" s="462"/>
      <c r="J84" s="462"/>
      <c r="K84" s="463"/>
    </row>
    <row r="85" spans="1:11" ht="51" customHeight="1" x14ac:dyDescent="0.2">
      <c r="A85" s="461" t="s">
        <v>934</v>
      </c>
      <c r="B85" s="462"/>
      <c r="C85" s="462"/>
      <c r="D85" s="462"/>
      <c r="E85" s="462"/>
      <c r="F85" s="462"/>
      <c r="G85" s="462"/>
      <c r="H85" s="462"/>
      <c r="I85" s="462"/>
      <c r="J85" s="462"/>
      <c r="K85" s="463"/>
    </row>
    <row r="86" spans="1:11" ht="57" customHeight="1" x14ac:dyDescent="0.2">
      <c r="A86" s="461" t="s">
        <v>490</v>
      </c>
      <c r="B86" s="467"/>
      <c r="C86" s="467"/>
      <c r="D86" s="467"/>
      <c r="E86" s="467"/>
      <c r="F86" s="467"/>
      <c r="G86" s="467"/>
      <c r="H86" s="467"/>
      <c r="I86" s="467"/>
      <c r="J86" s="467"/>
      <c r="K86" s="468"/>
    </row>
    <row r="87" spans="1:11" ht="90.6" customHeight="1" x14ac:dyDescent="0.2">
      <c r="A87" s="461" t="s">
        <v>984</v>
      </c>
      <c r="B87" s="467"/>
      <c r="C87" s="467"/>
      <c r="D87" s="467"/>
      <c r="E87" s="467"/>
      <c r="F87" s="467"/>
      <c r="G87" s="467"/>
      <c r="H87" s="467"/>
      <c r="I87" s="467"/>
      <c r="J87" s="467"/>
      <c r="K87" s="468"/>
    </row>
    <row r="88" spans="1:11" ht="83.65" customHeight="1" x14ac:dyDescent="0.2">
      <c r="A88" s="461" t="s">
        <v>977</v>
      </c>
      <c r="B88" s="462"/>
      <c r="C88" s="462"/>
      <c r="D88" s="462"/>
      <c r="E88" s="462"/>
      <c r="F88" s="462"/>
      <c r="G88" s="462"/>
      <c r="H88" s="462"/>
      <c r="I88" s="462"/>
      <c r="J88" s="462"/>
      <c r="K88" s="463"/>
    </row>
    <row r="89" spans="1:11" ht="81.599999999999994" customHeight="1" x14ac:dyDescent="0.2">
      <c r="A89" s="472" t="s">
        <v>825</v>
      </c>
      <c r="B89" s="462"/>
      <c r="C89" s="462"/>
      <c r="D89" s="462"/>
      <c r="E89" s="462"/>
      <c r="F89" s="462"/>
      <c r="G89" s="462"/>
      <c r="H89" s="462"/>
      <c r="I89" s="462"/>
      <c r="J89" s="462"/>
      <c r="K89" s="463"/>
    </row>
    <row r="90" spans="1:11" ht="72" customHeight="1" x14ac:dyDescent="0.2">
      <c r="A90" s="461" t="s">
        <v>636</v>
      </c>
      <c r="B90" s="467"/>
      <c r="C90" s="467"/>
      <c r="D90" s="467"/>
      <c r="E90" s="467"/>
      <c r="F90" s="467"/>
      <c r="G90" s="467"/>
      <c r="H90" s="467"/>
      <c r="I90" s="467"/>
      <c r="J90" s="467"/>
      <c r="K90" s="468"/>
    </row>
    <row r="91" spans="1:11" ht="113.1" customHeight="1" x14ac:dyDescent="0.2">
      <c r="A91" s="461" t="s">
        <v>456</v>
      </c>
      <c r="B91" s="467"/>
      <c r="C91" s="467"/>
      <c r="D91" s="467"/>
      <c r="E91" s="467"/>
      <c r="F91" s="467"/>
      <c r="G91" s="467"/>
      <c r="H91" s="467"/>
      <c r="I91" s="467"/>
      <c r="J91" s="467"/>
      <c r="K91" s="468"/>
    </row>
    <row r="92" spans="1:11" ht="72" customHeight="1" x14ac:dyDescent="0.2">
      <c r="A92" s="461" t="s">
        <v>637</v>
      </c>
      <c r="B92" s="467"/>
      <c r="C92" s="467"/>
      <c r="D92" s="467"/>
      <c r="E92" s="467"/>
      <c r="F92" s="467"/>
      <c r="G92" s="467"/>
      <c r="H92" s="467"/>
      <c r="I92" s="467"/>
      <c r="J92" s="467"/>
      <c r="K92" s="468"/>
    </row>
    <row r="93" spans="1:11" ht="78.599999999999994" customHeight="1" x14ac:dyDescent="0.2">
      <c r="A93" s="461" t="s">
        <v>638</v>
      </c>
      <c r="B93" s="467"/>
      <c r="C93" s="467"/>
      <c r="D93" s="467"/>
      <c r="E93" s="467"/>
      <c r="F93" s="467"/>
      <c r="G93" s="467"/>
      <c r="H93" s="467"/>
      <c r="I93" s="467"/>
      <c r="J93" s="467"/>
      <c r="K93" s="468"/>
    </row>
    <row r="94" spans="1:11" ht="136.35" customHeight="1" x14ac:dyDescent="0.2">
      <c r="A94" s="461" t="s">
        <v>861</v>
      </c>
      <c r="B94" s="462"/>
      <c r="C94" s="462"/>
      <c r="D94" s="462"/>
      <c r="E94" s="462"/>
      <c r="F94" s="462"/>
      <c r="G94" s="462"/>
      <c r="H94" s="462"/>
      <c r="I94" s="462"/>
      <c r="J94" s="462"/>
      <c r="K94" s="463"/>
    </row>
    <row r="95" spans="1:11" ht="79.349999999999994" customHeight="1" x14ac:dyDescent="0.2">
      <c r="A95" s="461" t="s">
        <v>862</v>
      </c>
      <c r="B95" s="467"/>
      <c r="C95" s="467"/>
      <c r="D95" s="467"/>
      <c r="E95" s="467"/>
      <c r="F95" s="467"/>
      <c r="G95" s="467"/>
      <c r="H95" s="467"/>
      <c r="I95" s="467"/>
      <c r="J95" s="467"/>
      <c r="K95" s="468"/>
    </row>
    <row r="96" spans="1:11" ht="99" customHeight="1" x14ac:dyDescent="0.2">
      <c r="A96" s="461" t="s">
        <v>639</v>
      </c>
      <c r="B96" s="462"/>
      <c r="C96" s="462"/>
      <c r="D96" s="462"/>
      <c r="E96" s="462"/>
      <c r="F96" s="462"/>
      <c r="G96" s="462"/>
      <c r="H96" s="462"/>
      <c r="I96" s="462"/>
      <c r="J96" s="462"/>
      <c r="K96" s="463"/>
    </row>
    <row r="97" spans="1:11" ht="77.099999999999994" customHeight="1" x14ac:dyDescent="0.2">
      <c r="A97" s="461" t="s">
        <v>684</v>
      </c>
      <c r="B97" s="462"/>
      <c r="C97" s="462"/>
      <c r="D97" s="462"/>
      <c r="E97" s="462"/>
      <c r="F97" s="462"/>
      <c r="G97" s="462"/>
      <c r="H97" s="462"/>
      <c r="I97" s="462"/>
      <c r="J97" s="462"/>
      <c r="K97" s="463"/>
    </row>
    <row r="98" spans="1:11" ht="65.650000000000006" customHeight="1" x14ac:dyDescent="0.2">
      <c r="A98" s="461" t="s">
        <v>906</v>
      </c>
      <c r="B98" s="462"/>
      <c r="C98" s="462"/>
      <c r="D98" s="462"/>
      <c r="E98" s="462"/>
      <c r="F98" s="462"/>
      <c r="G98" s="462"/>
      <c r="H98" s="462"/>
      <c r="I98" s="462"/>
      <c r="J98" s="462"/>
      <c r="K98" s="463"/>
    </row>
    <row r="99" spans="1:11" ht="101.1" customHeight="1" x14ac:dyDescent="0.2">
      <c r="A99" s="461" t="s">
        <v>640</v>
      </c>
      <c r="B99" s="462"/>
      <c r="C99" s="462"/>
      <c r="D99" s="462"/>
      <c r="E99" s="462"/>
      <c r="F99" s="462"/>
      <c r="G99" s="462"/>
      <c r="H99" s="462"/>
      <c r="I99" s="462"/>
      <c r="J99" s="462"/>
      <c r="K99" s="463"/>
    </row>
    <row r="100" spans="1:11" ht="86.1" customHeight="1" x14ac:dyDescent="0.2">
      <c r="A100" s="461" t="s">
        <v>641</v>
      </c>
      <c r="B100" s="462"/>
      <c r="C100" s="462"/>
      <c r="D100" s="462"/>
      <c r="E100" s="462"/>
      <c r="F100" s="462"/>
      <c r="G100" s="462"/>
      <c r="H100" s="462"/>
      <c r="I100" s="462"/>
      <c r="J100" s="462"/>
      <c r="K100" s="463"/>
    </row>
    <row r="101" spans="1:11" ht="93" customHeight="1" x14ac:dyDescent="0.2">
      <c r="A101" s="461" t="s">
        <v>642</v>
      </c>
      <c r="B101" s="462"/>
      <c r="C101" s="462"/>
      <c r="D101" s="462"/>
      <c r="E101" s="462"/>
      <c r="F101" s="462"/>
      <c r="G101" s="462"/>
      <c r="H101" s="462"/>
      <c r="I101" s="462"/>
      <c r="J101" s="462"/>
      <c r="K101" s="463"/>
    </row>
    <row r="102" spans="1:11" ht="90" customHeight="1" x14ac:dyDescent="0.2">
      <c r="A102" s="461" t="s">
        <v>445</v>
      </c>
      <c r="B102" s="462"/>
      <c r="C102" s="462"/>
      <c r="D102" s="462"/>
      <c r="E102" s="462"/>
      <c r="F102" s="462"/>
      <c r="G102" s="462"/>
      <c r="H102" s="462"/>
      <c r="I102" s="462"/>
      <c r="J102" s="462"/>
      <c r="K102" s="463"/>
    </row>
    <row r="103" spans="1:11" ht="60" customHeight="1" x14ac:dyDescent="0.2">
      <c r="A103" s="461" t="s">
        <v>643</v>
      </c>
      <c r="B103" s="462"/>
      <c r="C103" s="462"/>
      <c r="D103" s="462"/>
      <c r="E103" s="462"/>
      <c r="F103" s="462"/>
      <c r="G103" s="462"/>
      <c r="H103" s="462"/>
      <c r="I103" s="462"/>
      <c r="J103" s="462"/>
      <c r="K103" s="463"/>
    </row>
    <row r="104" spans="1:11" ht="87.6" customHeight="1" x14ac:dyDescent="0.2">
      <c r="A104" s="461" t="s">
        <v>644</v>
      </c>
      <c r="B104" s="462"/>
      <c r="C104" s="462"/>
      <c r="D104" s="462"/>
      <c r="E104" s="462"/>
      <c r="F104" s="462"/>
      <c r="G104" s="462"/>
      <c r="H104" s="462"/>
      <c r="I104" s="462"/>
      <c r="J104" s="462"/>
      <c r="K104" s="463"/>
    </row>
    <row r="105" spans="1:11" ht="88.35" customHeight="1" x14ac:dyDescent="0.2">
      <c r="A105" s="461" t="s">
        <v>599</v>
      </c>
      <c r="B105" s="462"/>
      <c r="C105" s="462"/>
      <c r="D105" s="462"/>
      <c r="E105" s="462"/>
      <c r="F105" s="462"/>
      <c r="G105" s="462"/>
      <c r="H105" s="462"/>
      <c r="I105" s="462"/>
      <c r="J105" s="462"/>
      <c r="K105" s="463"/>
    </row>
    <row r="106" spans="1:11" ht="48.6" customHeight="1" x14ac:dyDescent="0.2">
      <c r="A106" s="461" t="s">
        <v>645</v>
      </c>
      <c r="B106" s="462"/>
      <c r="C106" s="462"/>
      <c r="D106" s="462"/>
      <c r="E106" s="462"/>
      <c r="F106" s="462"/>
      <c r="G106" s="462"/>
      <c r="H106" s="462"/>
      <c r="I106" s="462"/>
      <c r="J106" s="462"/>
      <c r="K106" s="463"/>
    </row>
    <row r="107" spans="1:11" ht="46.35" customHeight="1" x14ac:dyDescent="0.2">
      <c r="A107" s="464" t="s">
        <v>600</v>
      </c>
      <c r="B107" s="465"/>
      <c r="C107" s="465"/>
      <c r="D107" s="465"/>
      <c r="E107" s="465"/>
      <c r="F107" s="465"/>
      <c r="G107" s="465"/>
      <c r="H107" s="465"/>
      <c r="I107" s="465"/>
      <c r="J107" s="465"/>
      <c r="K107" s="466"/>
    </row>
    <row r="108" spans="1:11" ht="33" customHeight="1" x14ac:dyDescent="0.3">
      <c r="A108" s="474" t="s">
        <v>195</v>
      </c>
      <c r="B108" s="475"/>
      <c r="C108" s="475"/>
      <c r="D108" s="475"/>
      <c r="E108" s="475"/>
      <c r="F108" s="475"/>
      <c r="G108" s="475"/>
      <c r="H108" s="475"/>
      <c r="I108" s="475"/>
      <c r="J108" s="475"/>
      <c r="K108" s="476"/>
    </row>
    <row r="109" spans="1:11" ht="73.349999999999994" customHeight="1" x14ac:dyDescent="0.2">
      <c r="A109" s="461" t="s">
        <v>462</v>
      </c>
      <c r="B109" s="467"/>
      <c r="C109" s="467"/>
      <c r="D109" s="467"/>
      <c r="E109" s="467"/>
      <c r="F109" s="467"/>
      <c r="G109" s="467"/>
      <c r="H109" s="467"/>
      <c r="I109" s="467"/>
      <c r="J109" s="467"/>
      <c r="K109" s="468"/>
    </row>
    <row r="110" spans="1:11" ht="69" customHeight="1" x14ac:dyDescent="0.2">
      <c r="A110" s="461" t="s">
        <v>646</v>
      </c>
      <c r="B110" s="462"/>
      <c r="C110" s="462"/>
      <c r="D110" s="462"/>
      <c r="E110" s="462"/>
      <c r="F110" s="462"/>
      <c r="G110" s="462"/>
      <c r="H110" s="462"/>
      <c r="I110" s="462"/>
      <c r="J110" s="462"/>
      <c r="K110" s="463"/>
    </row>
    <row r="111" spans="1:11" ht="78" customHeight="1" x14ac:dyDescent="0.2">
      <c r="A111" s="461" t="s">
        <v>826</v>
      </c>
      <c r="B111" s="462"/>
      <c r="C111" s="462"/>
      <c r="D111" s="462"/>
      <c r="E111" s="462"/>
      <c r="F111" s="462"/>
      <c r="G111" s="462"/>
      <c r="H111" s="462"/>
      <c r="I111" s="462"/>
      <c r="J111" s="462"/>
      <c r="K111" s="463"/>
    </row>
    <row r="112" spans="1:11" ht="61.35" customHeight="1" x14ac:dyDescent="0.2">
      <c r="A112" s="461" t="s">
        <v>647</v>
      </c>
      <c r="B112" s="462"/>
      <c r="C112" s="462"/>
      <c r="D112" s="462"/>
      <c r="E112" s="462"/>
      <c r="F112" s="462"/>
      <c r="G112" s="462"/>
      <c r="H112" s="462"/>
      <c r="I112" s="462"/>
      <c r="J112" s="462"/>
      <c r="K112" s="463"/>
    </row>
    <row r="113" spans="1:11" ht="86.65" customHeight="1" x14ac:dyDescent="0.2">
      <c r="A113" s="461" t="s">
        <v>648</v>
      </c>
      <c r="B113" s="467"/>
      <c r="C113" s="467"/>
      <c r="D113" s="467"/>
      <c r="E113" s="467"/>
      <c r="F113" s="467"/>
      <c r="G113" s="467"/>
      <c r="H113" s="467"/>
      <c r="I113" s="467"/>
      <c r="J113" s="467"/>
      <c r="K113" s="468"/>
    </row>
    <row r="114" spans="1:11" ht="113.1" customHeight="1" x14ac:dyDescent="0.2">
      <c r="A114" s="461" t="s">
        <v>677</v>
      </c>
      <c r="B114" s="462"/>
      <c r="C114" s="462"/>
      <c r="D114" s="462"/>
      <c r="E114" s="462"/>
      <c r="F114" s="462"/>
      <c r="G114" s="462"/>
      <c r="H114" s="462"/>
      <c r="I114" s="462"/>
      <c r="J114" s="462"/>
      <c r="K114" s="463"/>
    </row>
    <row r="115" spans="1:11" ht="132" customHeight="1" x14ac:dyDescent="0.2">
      <c r="A115" s="461" t="s">
        <v>467</v>
      </c>
      <c r="B115" s="462"/>
      <c r="C115" s="462"/>
      <c r="D115" s="462"/>
      <c r="E115" s="462"/>
      <c r="F115" s="462"/>
      <c r="G115" s="462"/>
      <c r="H115" s="462"/>
      <c r="I115" s="462"/>
      <c r="J115" s="462"/>
      <c r="K115" s="463"/>
    </row>
    <row r="116" spans="1:11" ht="83.1" customHeight="1" x14ac:dyDescent="0.2">
      <c r="A116" s="461" t="s">
        <v>649</v>
      </c>
      <c r="B116" s="462"/>
      <c r="C116" s="462"/>
      <c r="D116" s="462"/>
      <c r="E116" s="462"/>
      <c r="F116" s="462"/>
      <c r="G116" s="462"/>
      <c r="H116" s="462"/>
      <c r="I116" s="462"/>
      <c r="J116" s="462"/>
      <c r="K116" s="463"/>
    </row>
    <row r="117" spans="1:11" ht="83.1" customHeight="1" x14ac:dyDescent="0.2">
      <c r="A117" s="461" t="s">
        <v>270</v>
      </c>
      <c r="B117" s="462"/>
      <c r="C117" s="462"/>
      <c r="D117" s="462"/>
      <c r="E117" s="462"/>
      <c r="F117" s="462"/>
      <c r="G117" s="462"/>
      <c r="H117" s="462"/>
      <c r="I117" s="462"/>
      <c r="J117" s="462"/>
      <c r="K117" s="463"/>
    </row>
    <row r="118" spans="1:11" ht="170.65" customHeight="1" x14ac:dyDescent="0.2">
      <c r="A118" s="461" t="s">
        <v>686</v>
      </c>
      <c r="B118" s="467"/>
      <c r="C118" s="467"/>
      <c r="D118" s="467"/>
      <c r="E118" s="467"/>
      <c r="F118" s="467"/>
      <c r="G118" s="467"/>
      <c r="H118" s="467"/>
      <c r="I118" s="467"/>
      <c r="J118" s="467"/>
      <c r="K118" s="468"/>
    </row>
    <row r="119" spans="1:11" ht="62.65" customHeight="1" x14ac:dyDescent="0.2">
      <c r="A119" s="461" t="s">
        <v>688</v>
      </c>
      <c r="B119" s="462"/>
      <c r="C119" s="462"/>
      <c r="D119" s="462"/>
      <c r="E119" s="462"/>
      <c r="F119" s="462"/>
      <c r="G119" s="462"/>
      <c r="H119" s="462"/>
      <c r="I119" s="462"/>
      <c r="J119" s="462"/>
      <c r="K119" s="463"/>
    </row>
    <row r="120" spans="1:11" ht="77.099999999999994" customHeight="1" x14ac:dyDescent="0.2">
      <c r="A120" s="461" t="s">
        <v>465</v>
      </c>
      <c r="B120" s="462"/>
      <c r="C120" s="462"/>
      <c r="D120" s="462"/>
      <c r="E120" s="462"/>
      <c r="F120" s="462"/>
      <c r="G120" s="462"/>
      <c r="H120" s="462"/>
      <c r="I120" s="462"/>
      <c r="J120" s="462"/>
      <c r="K120" s="463"/>
    </row>
    <row r="121" spans="1:11" ht="99" customHeight="1" x14ac:dyDescent="0.2">
      <c r="A121" s="461" t="s">
        <v>650</v>
      </c>
      <c r="B121" s="467"/>
      <c r="C121" s="467"/>
      <c r="D121" s="467"/>
      <c r="E121" s="467"/>
      <c r="F121" s="467"/>
      <c r="G121" s="467"/>
      <c r="H121" s="467"/>
      <c r="I121" s="467"/>
      <c r="J121" s="467"/>
      <c r="K121" s="468"/>
    </row>
    <row r="122" spans="1:11" ht="116.1" customHeight="1" x14ac:dyDescent="0.2">
      <c r="A122" s="461" t="s">
        <v>687</v>
      </c>
      <c r="B122" s="462"/>
      <c r="C122" s="462"/>
      <c r="D122" s="462"/>
      <c r="E122" s="462"/>
      <c r="F122" s="462"/>
      <c r="G122" s="462"/>
      <c r="H122" s="462"/>
      <c r="I122" s="462"/>
      <c r="J122" s="462"/>
      <c r="K122" s="463"/>
    </row>
    <row r="123" spans="1:11" ht="119.65" customHeight="1" x14ac:dyDescent="0.2">
      <c r="A123" s="461" t="s">
        <v>689</v>
      </c>
      <c r="B123" s="462"/>
      <c r="C123" s="462"/>
      <c r="D123" s="462"/>
      <c r="E123" s="462"/>
      <c r="F123" s="462"/>
      <c r="G123" s="462"/>
      <c r="H123" s="462"/>
      <c r="I123" s="462"/>
      <c r="J123" s="462"/>
      <c r="K123" s="463"/>
    </row>
    <row r="124" spans="1:11" ht="101.1" customHeight="1" x14ac:dyDescent="0.2">
      <c r="A124" s="461" t="s">
        <v>690</v>
      </c>
      <c r="B124" s="462"/>
      <c r="C124" s="462"/>
      <c r="D124" s="462"/>
      <c r="E124" s="462"/>
      <c r="F124" s="462"/>
      <c r="G124" s="462"/>
      <c r="H124" s="462"/>
      <c r="I124" s="462"/>
      <c r="J124" s="462"/>
      <c r="K124" s="463"/>
    </row>
    <row r="125" spans="1:11" ht="52.5" customHeight="1" x14ac:dyDescent="0.2">
      <c r="A125" s="461" t="s">
        <v>601</v>
      </c>
      <c r="B125" s="462"/>
      <c r="C125" s="462"/>
      <c r="D125" s="462"/>
      <c r="E125" s="462"/>
      <c r="F125" s="462"/>
      <c r="G125" s="462"/>
      <c r="H125" s="462"/>
      <c r="I125" s="462"/>
      <c r="J125" s="462"/>
      <c r="K125" s="463"/>
    </row>
    <row r="126" spans="1:11" ht="100.35" customHeight="1" x14ac:dyDescent="0.2">
      <c r="A126" s="461" t="s">
        <v>691</v>
      </c>
      <c r="B126" s="462"/>
      <c r="C126" s="462"/>
      <c r="D126" s="462"/>
      <c r="E126" s="462"/>
      <c r="F126" s="462"/>
      <c r="G126" s="462"/>
      <c r="H126" s="462"/>
      <c r="I126" s="462"/>
      <c r="J126" s="462"/>
      <c r="K126" s="463"/>
    </row>
    <row r="127" spans="1:11" ht="88.9" customHeight="1" x14ac:dyDescent="0.2">
      <c r="A127" s="461" t="s">
        <v>863</v>
      </c>
      <c r="B127" s="462"/>
      <c r="C127" s="462"/>
      <c r="D127" s="462"/>
      <c r="E127" s="462"/>
      <c r="F127" s="462"/>
      <c r="G127" s="462"/>
      <c r="H127" s="462"/>
      <c r="I127" s="462"/>
      <c r="J127" s="462"/>
      <c r="K127" s="463"/>
    </row>
    <row r="128" spans="1:11" ht="70.349999999999994" customHeight="1" x14ac:dyDescent="0.2">
      <c r="A128" s="461" t="s">
        <v>651</v>
      </c>
      <c r="B128" s="462"/>
      <c r="C128" s="462"/>
      <c r="D128" s="462"/>
      <c r="E128" s="462"/>
      <c r="F128" s="462"/>
      <c r="G128" s="462"/>
      <c r="H128" s="462"/>
      <c r="I128" s="462"/>
      <c r="J128" s="462"/>
      <c r="K128" s="463"/>
    </row>
    <row r="129" spans="1:11" ht="56.1" customHeight="1" x14ac:dyDescent="0.2">
      <c r="A129" s="461" t="s">
        <v>463</v>
      </c>
      <c r="B129" s="462"/>
      <c r="C129" s="462"/>
      <c r="D129" s="462"/>
      <c r="E129" s="462"/>
      <c r="F129" s="462"/>
      <c r="G129" s="462"/>
      <c r="H129" s="462"/>
      <c r="I129" s="462"/>
      <c r="J129" s="462"/>
      <c r="K129" s="463"/>
    </row>
    <row r="130" spans="1:11" ht="140.1" customHeight="1" x14ac:dyDescent="0.2">
      <c r="A130" s="461" t="s">
        <v>692</v>
      </c>
      <c r="B130" s="462"/>
      <c r="C130" s="462"/>
      <c r="D130" s="462"/>
      <c r="E130" s="462"/>
      <c r="F130" s="462"/>
      <c r="G130" s="462"/>
      <c r="H130" s="462"/>
      <c r="I130" s="462"/>
      <c r="J130" s="462"/>
      <c r="K130" s="463"/>
    </row>
    <row r="131" spans="1:11" ht="89.1" customHeight="1" x14ac:dyDescent="0.2">
      <c r="A131" s="461" t="s">
        <v>652</v>
      </c>
      <c r="B131" s="462"/>
      <c r="C131" s="462"/>
      <c r="D131" s="462"/>
      <c r="E131" s="462"/>
      <c r="F131" s="462"/>
      <c r="G131" s="462"/>
      <c r="H131" s="462"/>
      <c r="I131" s="462"/>
      <c r="J131" s="462"/>
      <c r="K131" s="463"/>
    </row>
    <row r="132" spans="1:11" ht="216.6" customHeight="1" x14ac:dyDescent="0.2">
      <c r="A132" s="461" t="s">
        <v>864</v>
      </c>
      <c r="B132" s="509"/>
      <c r="C132" s="509"/>
      <c r="D132" s="509"/>
      <c r="E132" s="509"/>
      <c r="F132" s="509"/>
      <c r="G132" s="509"/>
      <c r="H132" s="509"/>
      <c r="I132" s="509"/>
      <c r="J132" s="509"/>
      <c r="K132" s="510"/>
    </row>
    <row r="133" spans="1:11" ht="94.35" customHeight="1" x14ac:dyDescent="0.2">
      <c r="A133" s="461" t="s">
        <v>501</v>
      </c>
      <c r="B133" s="462"/>
      <c r="C133" s="462"/>
      <c r="D133" s="462"/>
      <c r="E133" s="462"/>
      <c r="F133" s="462"/>
      <c r="G133" s="462"/>
      <c r="H133" s="462"/>
      <c r="I133" s="462"/>
      <c r="J133" s="462"/>
      <c r="K133" s="463"/>
    </row>
    <row r="134" spans="1:11" ht="97.35" customHeight="1" x14ac:dyDescent="0.2">
      <c r="A134" s="461" t="s">
        <v>653</v>
      </c>
      <c r="B134" s="462"/>
      <c r="C134" s="462"/>
      <c r="D134" s="462"/>
      <c r="E134" s="462"/>
      <c r="F134" s="462"/>
      <c r="G134" s="462"/>
      <c r="H134" s="462"/>
      <c r="I134" s="462"/>
      <c r="J134" s="462"/>
      <c r="K134" s="463"/>
    </row>
    <row r="135" spans="1:11" ht="79.150000000000006" customHeight="1" x14ac:dyDescent="0.2">
      <c r="A135" s="461" t="s">
        <v>602</v>
      </c>
      <c r="B135" s="462"/>
      <c r="C135" s="462"/>
      <c r="D135" s="462"/>
      <c r="E135" s="462"/>
      <c r="F135" s="462"/>
      <c r="G135" s="462"/>
      <c r="H135" s="462"/>
      <c r="I135" s="462"/>
      <c r="J135" s="462"/>
      <c r="K135" s="463"/>
    </row>
    <row r="136" spans="1:11" ht="113.65" customHeight="1" x14ac:dyDescent="0.2">
      <c r="A136" s="247"/>
      <c r="B136" s="462" t="s">
        <v>693</v>
      </c>
      <c r="C136" s="462"/>
      <c r="D136" s="462"/>
      <c r="E136" s="462"/>
      <c r="F136" s="462"/>
      <c r="G136" s="462"/>
      <c r="H136" s="462"/>
      <c r="I136" s="462"/>
      <c r="J136" s="462"/>
      <c r="K136" s="463"/>
    </row>
    <row r="137" spans="1:11" ht="108.6" customHeight="1" x14ac:dyDescent="0.2">
      <c r="A137" s="247"/>
      <c r="B137" s="462" t="s">
        <v>694</v>
      </c>
      <c r="C137" s="462"/>
      <c r="D137" s="462"/>
      <c r="E137" s="462"/>
      <c r="F137" s="462"/>
      <c r="G137" s="462"/>
      <c r="H137" s="462"/>
      <c r="I137" s="462"/>
      <c r="J137" s="462"/>
      <c r="K137" s="463"/>
    </row>
    <row r="138" spans="1:11" ht="116.65" customHeight="1" x14ac:dyDescent="0.2">
      <c r="A138" s="146"/>
      <c r="B138" s="462" t="s">
        <v>695</v>
      </c>
      <c r="C138" s="462"/>
      <c r="D138" s="462"/>
      <c r="E138" s="462"/>
      <c r="F138" s="462"/>
      <c r="G138" s="462"/>
      <c r="H138" s="462"/>
      <c r="I138" s="462"/>
      <c r="J138" s="462"/>
      <c r="K138" s="463"/>
    </row>
    <row r="139" spans="1:11" ht="71.650000000000006" customHeight="1" x14ac:dyDescent="0.2">
      <c r="A139" s="469" t="s">
        <v>654</v>
      </c>
      <c r="B139" s="470"/>
      <c r="C139" s="470"/>
      <c r="D139" s="470"/>
      <c r="E139" s="470"/>
      <c r="F139" s="470"/>
      <c r="G139" s="470"/>
      <c r="H139" s="470"/>
      <c r="I139" s="470"/>
      <c r="J139" s="470"/>
      <c r="K139" s="471"/>
    </row>
    <row r="140" spans="1:11" ht="74.650000000000006" customHeight="1" x14ac:dyDescent="0.2">
      <c r="A140" s="461" t="s">
        <v>656</v>
      </c>
      <c r="B140" s="462"/>
      <c r="C140" s="462"/>
      <c r="D140" s="462"/>
      <c r="E140" s="462"/>
      <c r="F140" s="462"/>
      <c r="G140" s="462"/>
      <c r="H140" s="462"/>
      <c r="I140" s="462"/>
      <c r="J140" s="462"/>
      <c r="K140" s="463"/>
    </row>
    <row r="141" spans="1:11" ht="91.35" customHeight="1" x14ac:dyDescent="0.2">
      <c r="A141" s="461" t="s">
        <v>464</v>
      </c>
      <c r="B141" s="462"/>
      <c r="C141" s="462"/>
      <c r="D141" s="462"/>
      <c r="E141" s="462"/>
      <c r="F141" s="462"/>
      <c r="G141" s="462"/>
      <c r="H141" s="462"/>
      <c r="I141" s="462"/>
      <c r="J141" s="462"/>
      <c r="K141" s="463"/>
    </row>
    <row r="142" spans="1:11" ht="83.65" customHeight="1" x14ac:dyDescent="0.2">
      <c r="A142" s="461" t="s">
        <v>655</v>
      </c>
      <c r="B142" s="462"/>
      <c r="C142" s="462"/>
      <c r="D142" s="462"/>
      <c r="E142" s="462"/>
      <c r="F142" s="462"/>
      <c r="G142" s="462"/>
      <c r="H142" s="462"/>
      <c r="I142" s="462"/>
      <c r="J142" s="462"/>
      <c r="K142" s="463"/>
    </row>
    <row r="143" spans="1:11" ht="101.65" customHeight="1" x14ac:dyDescent="0.2">
      <c r="A143" s="461" t="s">
        <v>531</v>
      </c>
      <c r="B143" s="467"/>
      <c r="C143" s="467"/>
      <c r="D143" s="467"/>
      <c r="E143" s="467"/>
      <c r="F143" s="467"/>
      <c r="G143" s="467"/>
      <c r="H143" s="467"/>
      <c r="I143" s="467"/>
      <c r="J143" s="467"/>
      <c r="K143" s="468"/>
    </row>
    <row r="144" spans="1:11" ht="123" customHeight="1" x14ac:dyDescent="0.2">
      <c r="A144" s="461" t="s">
        <v>965</v>
      </c>
      <c r="B144" s="462"/>
      <c r="C144" s="462"/>
      <c r="D144" s="462"/>
      <c r="E144" s="462"/>
      <c r="F144" s="462"/>
      <c r="G144" s="462"/>
      <c r="H144" s="462"/>
      <c r="I144" s="462"/>
      <c r="J144" s="462"/>
      <c r="K144" s="463"/>
    </row>
    <row r="145" spans="1:11" ht="71.650000000000006" customHeight="1" x14ac:dyDescent="0.2">
      <c r="A145" s="461" t="s">
        <v>978</v>
      </c>
      <c r="B145" s="462"/>
      <c r="C145" s="462"/>
      <c r="D145" s="462"/>
      <c r="E145" s="462"/>
      <c r="F145" s="462"/>
      <c r="G145" s="462"/>
      <c r="H145" s="462"/>
      <c r="I145" s="462"/>
      <c r="J145" s="462"/>
      <c r="K145" s="463"/>
    </row>
    <row r="146" spans="1:11" ht="66" customHeight="1" x14ac:dyDescent="0.2">
      <c r="A146" s="461" t="s">
        <v>966</v>
      </c>
      <c r="B146" s="462"/>
      <c r="C146" s="462"/>
      <c r="D146" s="462"/>
      <c r="E146" s="462"/>
      <c r="F146" s="462"/>
      <c r="G146" s="462"/>
      <c r="H146" s="462"/>
      <c r="I146" s="462"/>
      <c r="J146" s="462"/>
      <c r="K146" s="463"/>
    </row>
    <row r="147" spans="1:11" ht="104.1" customHeight="1" x14ac:dyDescent="0.2">
      <c r="A147" s="461" t="s">
        <v>907</v>
      </c>
      <c r="B147" s="467"/>
      <c r="C147" s="467"/>
      <c r="D147" s="467"/>
      <c r="E147" s="467"/>
      <c r="F147" s="467"/>
      <c r="G147" s="467"/>
      <c r="H147" s="467"/>
      <c r="I147" s="467"/>
      <c r="J147" s="467"/>
      <c r="K147" s="468"/>
    </row>
    <row r="148" spans="1:11" ht="77.650000000000006" customHeight="1" x14ac:dyDescent="0.2">
      <c r="A148" s="461" t="s">
        <v>658</v>
      </c>
      <c r="B148" s="462"/>
      <c r="C148" s="462"/>
      <c r="D148" s="462"/>
      <c r="E148" s="462"/>
      <c r="F148" s="462"/>
      <c r="G148" s="462"/>
      <c r="H148" s="462"/>
      <c r="I148" s="462"/>
      <c r="J148" s="462"/>
      <c r="K148" s="463"/>
    </row>
    <row r="149" spans="1:11" ht="73.5" customHeight="1" x14ac:dyDescent="0.2">
      <c r="A149" s="461" t="s">
        <v>657</v>
      </c>
      <c r="B149" s="462"/>
      <c r="C149" s="462"/>
      <c r="D149" s="462"/>
      <c r="E149" s="462"/>
      <c r="F149" s="462"/>
      <c r="G149" s="462"/>
      <c r="H149" s="462"/>
      <c r="I149" s="462"/>
      <c r="J149" s="462"/>
      <c r="K149" s="463"/>
    </row>
    <row r="150" spans="1:11" ht="87" customHeight="1" x14ac:dyDescent="0.2">
      <c r="A150" s="461" t="s">
        <v>659</v>
      </c>
      <c r="B150" s="467"/>
      <c r="C150" s="467"/>
      <c r="D150" s="467"/>
      <c r="E150" s="467"/>
      <c r="F150" s="467"/>
      <c r="G150" s="467"/>
      <c r="H150" s="467"/>
      <c r="I150" s="467"/>
      <c r="J150" s="467"/>
      <c r="K150" s="468"/>
    </row>
    <row r="151" spans="1:11" ht="44.65" customHeight="1" x14ac:dyDescent="0.2">
      <c r="A151" s="461" t="s">
        <v>660</v>
      </c>
      <c r="B151" s="467"/>
      <c r="C151" s="467"/>
      <c r="D151" s="467"/>
      <c r="E151" s="467"/>
      <c r="F151" s="467"/>
      <c r="G151" s="467"/>
      <c r="H151" s="467"/>
      <c r="I151" s="467"/>
      <c r="J151" s="467"/>
      <c r="K151" s="468"/>
    </row>
    <row r="152" spans="1:11" ht="73.349999999999994" customHeight="1" x14ac:dyDescent="0.2">
      <c r="A152" s="461" t="s">
        <v>661</v>
      </c>
      <c r="B152" s="462"/>
      <c r="C152" s="462"/>
      <c r="D152" s="462"/>
      <c r="E152" s="462"/>
      <c r="F152" s="462"/>
      <c r="G152" s="462"/>
      <c r="H152" s="462"/>
      <c r="I152" s="462"/>
      <c r="J152" s="462"/>
      <c r="K152" s="463"/>
    </row>
    <row r="153" spans="1:11" ht="97.35" customHeight="1" x14ac:dyDescent="0.2">
      <c r="A153" s="461" t="s">
        <v>696</v>
      </c>
      <c r="B153" s="462"/>
      <c r="C153" s="462"/>
      <c r="D153" s="462"/>
      <c r="E153" s="462"/>
      <c r="F153" s="462"/>
      <c r="G153" s="462"/>
      <c r="H153" s="462"/>
      <c r="I153" s="462"/>
      <c r="J153" s="462"/>
      <c r="K153" s="463"/>
    </row>
    <row r="154" spans="1:11" ht="42.6" customHeight="1" x14ac:dyDescent="0.2">
      <c r="A154" s="461" t="s">
        <v>603</v>
      </c>
      <c r="B154" s="462"/>
      <c r="C154" s="462"/>
      <c r="D154" s="462"/>
      <c r="E154" s="462"/>
      <c r="F154" s="462"/>
      <c r="G154" s="462"/>
      <c r="H154" s="462"/>
      <c r="I154" s="462"/>
      <c r="J154" s="462"/>
      <c r="K154" s="463"/>
    </row>
    <row r="155" spans="1:11" ht="139.35" customHeight="1" x14ac:dyDescent="0.2">
      <c r="A155" s="461" t="s">
        <v>662</v>
      </c>
      <c r="B155" s="462"/>
      <c r="C155" s="462"/>
      <c r="D155" s="462"/>
      <c r="E155" s="462"/>
      <c r="F155" s="462"/>
      <c r="G155" s="462"/>
      <c r="H155" s="462"/>
      <c r="I155" s="462"/>
      <c r="J155" s="462"/>
      <c r="K155" s="463"/>
    </row>
    <row r="156" spans="1:11" ht="89.1" customHeight="1" x14ac:dyDescent="0.2">
      <c r="A156" s="469" t="s">
        <v>663</v>
      </c>
      <c r="B156" s="504"/>
      <c r="C156" s="504"/>
      <c r="D156" s="504"/>
      <c r="E156" s="504"/>
      <c r="F156" s="504"/>
      <c r="G156" s="504"/>
      <c r="H156" s="504"/>
      <c r="I156" s="504"/>
      <c r="J156" s="504"/>
      <c r="K156" s="505"/>
    </row>
    <row r="157" spans="1:11" ht="114" customHeight="1" x14ac:dyDescent="0.2">
      <c r="A157" s="461" t="s">
        <v>865</v>
      </c>
      <c r="B157" s="462"/>
      <c r="C157" s="462"/>
      <c r="D157" s="462"/>
      <c r="E157" s="462"/>
      <c r="F157" s="462"/>
      <c r="G157" s="462"/>
      <c r="H157" s="462"/>
      <c r="I157" s="462"/>
      <c r="J157" s="462"/>
      <c r="K157" s="463"/>
    </row>
    <row r="158" spans="1:11" ht="74.099999999999994" customHeight="1" x14ac:dyDescent="0.2">
      <c r="A158" s="461" t="s">
        <v>664</v>
      </c>
      <c r="B158" s="462"/>
      <c r="C158" s="462"/>
      <c r="D158" s="462"/>
      <c r="E158" s="462"/>
      <c r="F158" s="462"/>
      <c r="G158" s="462"/>
      <c r="H158" s="462"/>
      <c r="I158" s="462"/>
      <c r="J158" s="462"/>
      <c r="K158" s="463"/>
    </row>
    <row r="159" spans="1:11" ht="74.099999999999994" customHeight="1" x14ac:dyDescent="0.2">
      <c r="A159" s="461" t="s">
        <v>665</v>
      </c>
      <c r="B159" s="462"/>
      <c r="C159" s="462"/>
      <c r="D159" s="462"/>
      <c r="E159" s="462"/>
      <c r="F159" s="462"/>
      <c r="G159" s="462"/>
      <c r="H159" s="462"/>
      <c r="I159" s="462"/>
      <c r="J159" s="462"/>
      <c r="K159" s="463"/>
    </row>
    <row r="160" spans="1:11" ht="35.1" customHeight="1" x14ac:dyDescent="0.2">
      <c r="A160" s="461" t="s">
        <v>666</v>
      </c>
      <c r="B160" s="462"/>
      <c r="C160" s="462"/>
      <c r="D160" s="462"/>
      <c r="E160" s="462"/>
      <c r="F160" s="462"/>
      <c r="G160" s="462"/>
      <c r="H160" s="462"/>
      <c r="I160" s="462"/>
      <c r="J160" s="462"/>
      <c r="K160" s="463"/>
    </row>
    <row r="161" spans="1:11" ht="39" customHeight="1" x14ac:dyDescent="0.3">
      <c r="A161" s="497" t="s">
        <v>450</v>
      </c>
      <c r="B161" s="462"/>
      <c r="C161" s="462"/>
      <c r="D161" s="462"/>
      <c r="E161" s="462"/>
      <c r="F161" s="462"/>
      <c r="G161" s="462"/>
      <c r="H161" s="462"/>
      <c r="I161" s="462"/>
      <c r="J161" s="462"/>
      <c r="K161" s="463"/>
    </row>
    <row r="162" spans="1:11" ht="95.1" customHeight="1" x14ac:dyDescent="0.2">
      <c r="A162" s="461" t="s">
        <v>667</v>
      </c>
      <c r="B162" s="462"/>
      <c r="C162" s="462"/>
      <c r="D162" s="462"/>
      <c r="E162" s="462"/>
      <c r="F162" s="462"/>
      <c r="G162" s="462"/>
      <c r="H162" s="462"/>
      <c r="I162" s="462"/>
      <c r="J162" s="462"/>
      <c r="K162" s="463"/>
    </row>
    <row r="163" spans="1:11" ht="108.6" customHeight="1" x14ac:dyDescent="0.2">
      <c r="A163" s="461" t="s">
        <v>668</v>
      </c>
      <c r="B163" s="462"/>
      <c r="C163" s="462"/>
      <c r="D163" s="462"/>
      <c r="E163" s="462"/>
      <c r="F163" s="462"/>
      <c r="G163" s="462"/>
      <c r="H163" s="462"/>
      <c r="I163" s="462"/>
      <c r="J163" s="462"/>
      <c r="K163" s="463"/>
    </row>
    <row r="164" spans="1:11" ht="102" customHeight="1" x14ac:dyDescent="0.2">
      <c r="A164" s="461" t="s">
        <v>669</v>
      </c>
      <c r="B164" s="462"/>
      <c r="C164" s="462"/>
      <c r="D164" s="462"/>
      <c r="E164" s="462"/>
      <c r="F164" s="462"/>
      <c r="G164" s="462"/>
      <c r="H164" s="462"/>
      <c r="I164" s="462"/>
      <c r="J164" s="462"/>
      <c r="K164" s="463"/>
    </row>
    <row r="165" spans="1:11" ht="32.1" customHeight="1" x14ac:dyDescent="0.3">
      <c r="A165" s="474" t="s">
        <v>12</v>
      </c>
      <c r="B165" s="475"/>
      <c r="C165" s="475"/>
      <c r="D165" s="475"/>
      <c r="E165" s="475"/>
      <c r="F165" s="475"/>
      <c r="G165" s="475"/>
      <c r="H165" s="475"/>
      <c r="I165" s="475"/>
      <c r="J165" s="475"/>
      <c r="K165" s="476"/>
    </row>
    <row r="166" spans="1:11" ht="60" customHeight="1" x14ac:dyDescent="0.2">
      <c r="A166" s="461" t="s">
        <v>827</v>
      </c>
      <c r="B166" s="462"/>
      <c r="C166" s="462"/>
      <c r="D166" s="462"/>
      <c r="E166" s="462"/>
      <c r="F166" s="462"/>
      <c r="G166" s="462"/>
      <c r="H166" s="462"/>
      <c r="I166" s="462"/>
      <c r="J166" s="462"/>
      <c r="K166" s="463"/>
    </row>
    <row r="167" spans="1:11" ht="60" customHeight="1" x14ac:dyDescent="0.2">
      <c r="A167" s="461" t="s">
        <v>908</v>
      </c>
      <c r="B167" s="462"/>
      <c r="C167" s="462"/>
      <c r="D167" s="462"/>
      <c r="E167" s="462"/>
      <c r="F167" s="462"/>
      <c r="G167" s="462"/>
      <c r="H167" s="462"/>
      <c r="I167" s="462"/>
      <c r="J167" s="462"/>
      <c r="K167" s="463"/>
    </row>
    <row r="168" spans="1:11" ht="124.9" customHeight="1" x14ac:dyDescent="0.2">
      <c r="A168" s="461" t="s">
        <v>670</v>
      </c>
      <c r="B168" s="462"/>
      <c r="C168" s="462"/>
      <c r="D168" s="462"/>
      <c r="E168" s="462"/>
      <c r="F168" s="462"/>
      <c r="G168" s="462"/>
      <c r="H168" s="462"/>
      <c r="I168" s="462"/>
      <c r="J168" s="462"/>
      <c r="K168" s="463"/>
    </row>
    <row r="169" spans="1:11" ht="83.65" customHeight="1" x14ac:dyDescent="0.2">
      <c r="A169" s="461" t="s">
        <v>671</v>
      </c>
      <c r="B169" s="462"/>
      <c r="C169" s="462"/>
      <c r="D169" s="462"/>
      <c r="E169" s="462"/>
      <c r="F169" s="462"/>
      <c r="G169" s="462"/>
      <c r="H169" s="462"/>
      <c r="I169" s="462"/>
      <c r="J169" s="462"/>
      <c r="K169" s="463"/>
    </row>
    <row r="170" spans="1:11" ht="82.35" customHeight="1" x14ac:dyDescent="0.2">
      <c r="A170" s="461" t="s">
        <v>866</v>
      </c>
      <c r="B170" s="462"/>
      <c r="C170" s="462"/>
      <c r="D170" s="462"/>
      <c r="E170" s="462"/>
      <c r="F170" s="462"/>
      <c r="G170" s="462"/>
      <c r="H170" s="462"/>
      <c r="I170" s="462"/>
      <c r="J170" s="462"/>
      <c r="K170" s="463"/>
    </row>
    <row r="171" spans="1:11" ht="75" customHeight="1" x14ac:dyDescent="0.2">
      <c r="A171" s="461" t="s">
        <v>672</v>
      </c>
      <c r="B171" s="462"/>
      <c r="C171" s="462"/>
      <c r="D171" s="462"/>
      <c r="E171" s="462"/>
      <c r="F171" s="462"/>
      <c r="G171" s="462"/>
      <c r="H171" s="462"/>
      <c r="I171" s="462"/>
      <c r="J171" s="462"/>
      <c r="K171" s="463"/>
    </row>
    <row r="172" spans="1:11" ht="90.6" customHeight="1" x14ac:dyDescent="0.2">
      <c r="A172" s="464" t="s">
        <v>673</v>
      </c>
      <c r="B172" s="465"/>
      <c r="C172" s="465"/>
      <c r="D172" s="465"/>
      <c r="E172" s="465"/>
      <c r="F172" s="465"/>
      <c r="G172" s="465"/>
      <c r="H172" s="465"/>
      <c r="I172" s="465"/>
      <c r="J172" s="465"/>
      <c r="K172" s="466"/>
    </row>
    <row r="173" spans="1:11" ht="39.6" customHeight="1" x14ac:dyDescent="0.3">
      <c r="A173" s="474" t="s">
        <v>818</v>
      </c>
      <c r="B173" s="475"/>
      <c r="C173" s="475"/>
      <c r="D173" s="475"/>
      <c r="E173" s="475"/>
      <c r="F173" s="475"/>
      <c r="G173" s="475"/>
      <c r="H173" s="475"/>
      <c r="I173" s="475"/>
      <c r="J173" s="475"/>
      <c r="K173" s="476"/>
    </row>
    <row r="174" spans="1:11" ht="45" customHeight="1" x14ac:dyDescent="0.2">
      <c r="A174" s="461" t="s">
        <v>856</v>
      </c>
      <c r="B174" s="462"/>
      <c r="C174" s="462"/>
      <c r="D174" s="462"/>
      <c r="E174" s="462"/>
      <c r="F174" s="462"/>
      <c r="G174" s="462"/>
      <c r="H174" s="462"/>
      <c r="I174" s="462"/>
      <c r="J174" s="462"/>
      <c r="K174" s="463"/>
    </row>
    <row r="175" spans="1:11" ht="43.35" customHeight="1" x14ac:dyDescent="0.2">
      <c r="A175" s="461" t="s">
        <v>828</v>
      </c>
      <c r="B175" s="462"/>
      <c r="C175" s="462"/>
      <c r="D175" s="462"/>
      <c r="E175" s="462"/>
      <c r="F175" s="462"/>
      <c r="G175" s="462"/>
      <c r="H175" s="462"/>
      <c r="I175" s="462"/>
      <c r="J175" s="462"/>
      <c r="K175" s="463"/>
    </row>
    <row r="176" spans="1:11" ht="56.1" customHeight="1" x14ac:dyDescent="0.2">
      <c r="A176" s="461" t="s">
        <v>830</v>
      </c>
      <c r="B176" s="462"/>
      <c r="C176" s="462"/>
      <c r="D176" s="462"/>
      <c r="E176" s="462"/>
      <c r="F176" s="462"/>
      <c r="G176" s="462"/>
      <c r="H176" s="462"/>
      <c r="I176" s="462"/>
      <c r="J176" s="462"/>
      <c r="K176" s="463"/>
    </row>
    <row r="177" spans="1:11" ht="94.35" customHeight="1" x14ac:dyDescent="0.2">
      <c r="A177" s="461" t="s">
        <v>857</v>
      </c>
      <c r="B177" s="462"/>
      <c r="C177" s="462"/>
      <c r="D177" s="462"/>
      <c r="E177" s="462"/>
      <c r="F177" s="462"/>
      <c r="G177" s="462"/>
      <c r="H177" s="462"/>
      <c r="I177" s="462"/>
      <c r="J177" s="462"/>
      <c r="K177" s="463"/>
    </row>
    <row r="178" spans="1:11" ht="82.35" customHeight="1" x14ac:dyDescent="0.2">
      <c r="A178" s="464" t="s">
        <v>858</v>
      </c>
      <c r="B178" s="465"/>
      <c r="C178" s="465"/>
      <c r="D178" s="465"/>
      <c r="E178" s="465"/>
      <c r="F178" s="465"/>
      <c r="G178" s="465"/>
      <c r="H178" s="465"/>
      <c r="I178" s="465"/>
      <c r="J178" s="465"/>
      <c r="K178" s="466"/>
    </row>
    <row r="179" spans="1:11" ht="30.6" customHeight="1" x14ac:dyDescent="0.3">
      <c r="A179" s="474" t="s">
        <v>231</v>
      </c>
      <c r="B179" s="475"/>
      <c r="C179" s="475"/>
      <c r="D179" s="475"/>
      <c r="E179" s="475"/>
      <c r="F179" s="475"/>
      <c r="G179" s="475"/>
      <c r="H179" s="475"/>
      <c r="I179" s="475"/>
      <c r="J179" s="475"/>
      <c r="K179" s="476"/>
    </row>
    <row r="180" spans="1:11" ht="64.349999999999994" customHeight="1" x14ac:dyDescent="0.2">
      <c r="A180" s="464" t="s">
        <v>831</v>
      </c>
      <c r="B180" s="485"/>
      <c r="C180" s="485"/>
      <c r="D180" s="485"/>
      <c r="E180" s="485"/>
      <c r="F180" s="485"/>
      <c r="G180" s="485"/>
      <c r="H180" s="485"/>
      <c r="I180" s="485"/>
      <c r="J180" s="485"/>
      <c r="K180" s="486"/>
    </row>
    <row r="181" spans="1:11" s="41" customFormat="1" ht="29.65" customHeight="1" x14ac:dyDescent="0.3">
      <c r="A181" s="474" t="s">
        <v>232</v>
      </c>
      <c r="B181" s="475"/>
      <c r="C181" s="475"/>
      <c r="D181" s="475"/>
      <c r="E181" s="475"/>
      <c r="F181" s="475"/>
      <c r="G181" s="475"/>
      <c r="H181" s="475"/>
      <c r="I181" s="475"/>
      <c r="J181" s="475"/>
      <c r="K181" s="476"/>
    </row>
    <row r="182" spans="1:11" ht="118.35" customHeight="1" x14ac:dyDescent="0.2">
      <c r="A182" s="464" t="s">
        <v>867</v>
      </c>
      <c r="B182" s="485"/>
      <c r="C182" s="485"/>
      <c r="D182" s="485"/>
      <c r="E182" s="485"/>
      <c r="F182" s="485"/>
      <c r="G182" s="485"/>
      <c r="H182" s="485"/>
      <c r="I182" s="485"/>
      <c r="J182" s="485"/>
      <c r="K182" s="486"/>
    </row>
    <row r="183" spans="1:11" ht="18.600000000000001" customHeight="1" x14ac:dyDescent="0.2">
      <c r="A183" s="494" t="s">
        <v>24</v>
      </c>
      <c r="B183" s="495"/>
      <c r="C183" s="495"/>
      <c r="D183" s="495"/>
      <c r="E183" s="495"/>
      <c r="F183" s="495"/>
      <c r="G183" s="495"/>
      <c r="H183" s="495"/>
      <c r="I183" s="495"/>
      <c r="J183" s="495"/>
      <c r="K183" s="496"/>
    </row>
    <row r="184" spans="1:11" ht="36" customHeight="1" x14ac:dyDescent="0.3">
      <c r="A184" s="474" t="s">
        <v>243</v>
      </c>
      <c r="B184" s="475"/>
      <c r="C184" s="475"/>
      <c r="D184" s="475"/>
      <c r="E184" s="475"/>
      <c r="F184" s="475"/>
      <c r="G184" s="475"/>
      <c r="H184" s="475"/>
      <c r="I184" s="475"/>
      <c r="J184" s="475"/>
      <c r="K184" s="476"/>
    </row>
    <row r="185" spans="1:11" ht="120.6" customHeight="1" x14ac:dyDescent="0.2">
      <c r="A185" s="464" t="s">
        <v>608</v>
      </c>
      <c r="B185" s="485"/>
      <c r="C185" s="485"/>
      <c r="D185" s="485"/>
      <c r="E185" s="485"/>
      <c r="F185" s="485"/>
      <c r="G185" s="485"/>
      <c r="H185" s="485"/>
      <c r="I185" s="485"/>
      <c r="J185" s="485"/>
      <c r="K185" s="486"/>
    </row>
    <row r="186" spans="1:11" ht="28.35" customHeight="1" x14ac:dyDescent="0.2">
      <c r="A186" s="492" t="s">
        <v>994</v>
      </c>
      <c r="B186" s="492"/>
      <c r="C186" s="492"/>
      <c r="D186" s="492"/>
      <c r="E186" s="492"/>
      <c r="F186" s="492"/>
      <c r="G186" s="492"/>
      <c r="H186" s="492"/>
      <c r="I186" s="492"/>
      <c r="J186" s="492"/>
      <c r="K186" s="493"/>
    </row>
    <row r="187" spans="1:11" ht="72" customHeight="1" x14ac:dyDescent="0.25">
      <c r="A187" s="491" t="s">
        <v>194</v>
      </c>
      <c r="B187" s="483"/>
      <c r="C187" s="483"/>
      <c r="D187" s="483"/>
      <c r="E187" s="483"/>
      <c r="F187" s="483"/>
      <c r="G187" s="483"/>
      <c r="H187" s="483"/>
      <c r="I187" s="483"/>
      <c r="J187" s="483"/>
      <c r="K187" s="484"/>
    </row>
    <row r="188" spans="1:11" ht="14.65" customHeight="1" x14ac:dyDescent="0.2">
      <c r="A188" s="490" t="s">
        <v>990</v>
      </c>
      <c r="B188" s="490"/>
      <c r="D188" s="11"/>
      <c r="E188" s="11"/>
      <c r="F188" s="11"/>
      <c r="K188" s="42">
        <v>44134</v>
      </c>
    </row>
    <row r="189" spans="1:11" ht="14.65" customHeight="1" x14ac:dyDescent="0.2">
      <c r="A189" s="11"/>
      <c r="B189" s="11"/>
      <c r="C189" s="11"/>
      <c r="D189" s="11"/>
      <c r="E189" s="11"/>
      <c r="F189" s="11"/>
    </row>
  </sheetData>
  <sheetProtection algorithmName="SHA-512" hashValue="/oU83JEoTVCiNbMDT/WnOFLHolKAcGxMPqTQoQ2LzicAcd4uxZO4YNERozMbqvP/6k0agQfkH+AHeuQM60/zVg==" saltValue="r8NuBodhYxxvQ9zv9uY/tQ==" spinCount="100000" sheet="1" objects="1" scenarios="1" formatColumns="0" formatRows="0"/>
  <mergeCells count="189">
    <mergeCell ref="A90:K90"/>
    <mergeCell ref="A91:K91"/>
    <mergeCell ref="A92:K92"/>
    <mergeCell ref="A93:K93"/>
    <mergeCell ref="A94:K94"/>
    <mergeCell ref="A132:K132"/>
    <mergeCell ref="A143:K143"/>
    <mergeCell ref="A131:K131"/>
    <mergeCell ref="A135:K135"/>
    <mergeCell ref="A122:K122"/>
    <mergeCell ref="A123:K123"/>
    <mergeCell ref="A105:K105"/>
    <mergeCell ref="A100:K100"/>
    <mergeCell ref="A101:K101"/>
    <mergeCell ref="A109:K109"/>
    <mergeCell ref="A108:K108"/>
    <mergeCell ref="A68:K68"/>
    <mergeCell ref="A77:K77"/>
    <mergeCell ref="A73:K73"/>
    <mergeCell ref="A74:K74"/>
    <mergeCell ref="A86:K86"/>
    <mergeCell ref="A81:K81"/>
    <mergeCell ref="A72:K72"/>
    <mergeCell ref="A78:K78"/>
    <mergeCell ref="A80:K80"/>
    <mergeCell ref="A67:K67"/>
    <mergeCell ref="A82:K82"/>
    <mergeCell ref="A70:K70"/>
    <mergeCell ref="A43:K43"/>
    <mergeCell ref="A49:K49"/>
    <mergeCell ref="A44:K44"/>
    <mergeCell ref="A57:K57"/>
    <mergeCell ref="A153:K153"/>
    <mergeCell ref="B137:K137"/>
    <mergeCell ref="A83:K83"/>
    <mergeCell ref="A84:K84"/>
    <mergeCell ref="A85:K85"/>
    <mergeCell ref="A99:K99"/>
    <mergeCell ref="A63:K63"/>
    <mergeCell ref="A45:K45"/>
    <mergeCell ref="A54:K54"/>
    <mergeCell ref="A76:K76"/>
    <mergeCell ref="A62:K62"/>
    <mergeCell ref="A58:K58"/>
    <mergeCell ref="A61:K61"/>
    <mergeCell ref="A59:K59"/>
    <mergeCell ref="A46:K46"/>
    <mergeCell ref="A65:K65"/>
    <mergeCell ref="A79:K79"/>
    <mergeCell ref="A66:K66"/>
    <mergeCell ref="A1:B1"/>
    <mergeCell ref="C1:K1"/>
    <mergeCell ref="A9:K9"/>
    <mergeCell ref="A168:K168"/>
    <mergeCell ref="A162:K162"/>
    <mergeCell ref="A157:K157"/>
    <mergeCell ref="A156:K156"/>
    <mergeCell ref="A159:K159"/>
    <mergeCell ref="A48:K48"/>
    <mergeCell ref="A33:K33"/>
    <mergeCell ref="A41:K41"/>
    <mergeCell ref="A51:K51"/>
    <mergeCell ref="A50:K50"/>
    <mergeCell ref="A36:K36"/>
    <mergeCell ref="A167:K167"/>
    <mergeCell ref="A160:K160"/>
    <mergeCell ref="A154:K154"/>
    <mergeCell ref="A163:K163"/>
    <mergeCell ref="A42:K42"/>
    <mergeCell ref="A56:K56"/>
    <mergeCell ref="A71:K71"/>
    <mergeCell ref="A64:K64"/>
    <mergeCell ref="A75:K75"/>
    <mergeCell ref="A169:K169"/>
    <mergeCell ref="A185:K185"/>
    <mergeCell ref="A34:K34"/>
    <mergeCell ref="A47:K47"/>
    <mergeCell ref="A60:K60"/>
    <mergeCell ref="A53:K53"/>
    <mergeCell ref="A55:K55"/>
    <mergeCell ref="A173:K173"/>
    <mergeCell ref="A174:K174"/>
    <mergeCell ref="A166:K166"/>
    <mergeCell ref="A165:K165"/>
    <mergeCell ref="A175:K175"/>
    <mergeCell ref="A170:K170"/>
    <mergeCell ref="A164:K164"/>
    <mergeCell ref="A155:K155"/>
    <mergeCell ref="A158:K158"/>
    <mergeCell ref="A161:K161"/>
    <mergeCell ref="A37:K37"/>
    <mergeCell ref="A35:K35"/>
    <mergeCell ref="A40:K40"/>
    <mergeCell ref="A39:K39"/>
    <mergeCell ref="A52:K52"/>
    <mergeCell ref="A38:K38"/>
    <mergeCell ref="A102:K102"/>
    <mergeCell ref="A188:B188"/>
    <mergeCell ref="A187:K187"/>
    <mergeCell ref="A186:K186"/>
    <mergeCell ref="A181:K181"/>
    <mergeCell ref="A180:K180"/>
    <mergeCell ref="A171:K171"/>
    <mergeCell ref="A184:K184"/>
    <mergeCell ref="A183:K183"/>
    <mergeCell ref="A182:K182"/>
    <mergeCell ref="A176:K176"/>
    <mergeCell ref="A177:K177"/>
    <mergeCell ref="A178:K178"/>
    <mergeCell ref="A179:K179"/>
    <mergeCell ref="A172:K172"/>
    <mergeCell ref="A31:K31"/>
    <mergeCell ref="A32:K32"/>
    <mergeCell ref="A3:K3"/>
    <mergeCell ref="A5:K5"/>
    <mergeCell ref="A4:K4"/>
    <mergeCell ref="B23:K23"/>
    <mergeCell ref="A8:K8"/>
    <mergeCell ref="A26:K26"/>
    <mergeCell ref="A25:K25"/>
    <mergeCell ref="B17:K17"/>
    <mergeCell ref="A24:K24"/>
    <mergeCell ref="A28:K28"/>
    <mergeCell ref="A30:K30"/>
    <mergeCell ref="A2:K2"/>
    <mergeCell ref="A7:K7"/>
    <mergeCell ref="A29:K29"/>
    <mergeCell ref="A27:K27"/>
    <mergeCell ref="A13:K13"/>
    <mergeCell ref="A6:K6"/>
    <mergeCell ref="A14:K14"/>
    <mergeCell ref="B22:K22"/>
    <mergeCell ref="B18:K18"/>
    <mergeCell ref="B19:K19"/>
    <mergeCell ref="B20:K20"/>
    <mergeCell ref="B16:K16"/>
    <mergeCell ref="A15:K15"/>
    <mergeCell ref="B21:K21"/>
    <mergeCell ref="A10:K10"/>
    <mergeCell ref="A11:K11"/>
    <mergeCell ref="A12:K12"/>
    <mergeCell ref="A151:K151"/>
    <mergeCell ref="A69:K69"/>
    <mergeCell ref="A148:K148"/>
    <mergeCell ref="A103:K103"/>
    <mergeCell ref="A104:K104"/>
    <mergeCell ref="A144:K144"/>
    <mergeCell ref="A145:K145"/>
    <mergeCell ref="A146:K146"/>
    <mergeCell ref="A95:K95"/>
    <mergeCell ref="A97:K97"/>
    <mergeCell ref="A98:K98"/>
    <mergeCell ref="A142:K142"/>
    <mergeCell ref="A118:K118"/>
    <mergeCell ref="A111:K111"/>
    <mergeCell ref="A113:K113"/>
    <mergeCell ref="A116:K116"/>
    <mergeCell ref="A114:K114"/>
    <mergeCell ref="A96:K96"/>
    <mergeCell ref="A106:K106"/>
    <mergeCell ref="A112:K112"/>
    <mergeCell ref="A121:K121"/>
    <mergeCell ref="A87:K87"/>
    <mergeCell ref="A88:K88"/>
    <mergeCell ref="A89:K89"/>
    <mergeCell ref="A152:K152"/>
    <mergeCell ref="A107:K107"/>
    <mergeCell ref="A119:K119"/>
    <mergeCell ref="A125:K125"/>
    <mergeCell ref="A124:K124"/>
    <mergeCell ref="A149:K149"/>
    <mergeCell ref="A110:K110"/>
    <mergeCell ref="A130:K130"/>
    <mergeCell ref="A117:K117"/>
    <mergeCell ref="A115:K115"/>
    <mergeCell ref="A126:K126"/>
    <mergeCell ref="A127:K127"/>
    <mergeCell ref="A120:K120"/>
    <mergeCell ref="A150:K150"/>
    <mergeCell ref="A141:K141"/>
    <mergeCell ref="B138:K138"/>
    <mergeCell ref="A147:K147"/>
    <mergeCell ref="A129:K129"/>
    <mergeCell ref="A128:K128"/>
    <mergeCell ref="A134:K134"/>
    <mergeCell ref="A139:K139"/>
    <mergeCell ref="A133:K133"/>
    <mergeCell ref="A140:K140"/>
    <mergeCell ref="B136:K136"/>
  </mergeCells>
  <phoneticPr fontId="0" type="noConversion"/>
  <hyperlinks>
    <hyperlink ref="A9" r:id="rId1" display="https://sites.google.com/site/brunwater/water-knowledge " xr:uid="{00000000-0004-0000-0000-000000000000}"/>
    <hyperlink ref="A186" r:id="rId2" display="https://sites.google.com/site/brunwater/" xr:uid="{00000000-0004-0000-0000-000001000000}"/>
    <hyperlink ref="A186:K186" r:id="rId3" display="https://www.brunwater.com/" xr:uid="{30BC9ADF-9490-4A5F-960C-8BFCA54E522D}"/>
  </hyperlinks>
  <printOptions horizontalCentered="1"/>
  <pageMargins left="0.7" right="0.7" top="0.75" bottom="0.75" header="0.3" footer="0.3"/>
  <pageSetup scale="49" fitToHeight="11" orientation="portrait" horizontalDpi="200" verticalDpi="200" r:id="rId4"/>
  <headerFooter>
    <oddHeader>&amp;C&amp;"Arial,Bold"&amp;12Bru'n Water</oddHeader>
    <oddFooter>&amp;Lv.5.5&amp;CPage &amp;P&amp;R9/17/18</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1">
    <tabColor rgb="FF00FFFF"/>
    <pageSetUpPr fitToPage="1"/>
  </sheetPr>
  <dimension ref="A1:AA48"/>
  <sheetViews>
    <sheetView showGridLines="0" zoomScale="115" zoomScaleNormal="115" workbookViewId="0">
      <selection activeCell="C7" sqref="C7"/>
    </sheetView>
  </sheetViews>
  <sheetFormatPr defaultColWidth="8.7109375" defaultRowHeight="12.75" x14ac:dyDescent="0.2"/>
  <cols>
    <col min="1" max="1" width="37.5703125" style="31" customWidth="1"/>
    <col min="2" max="3" width="22.5703125" style="31" customWidth="1"/>
    <col min="4" max="4" width="37.5703125" style="31" customWidth="1"/>
    <col min="5" max="5" width="18.7109375" style="31" customWidth="1"/>
    <col min="6" max="6" width="9.28515625" style="31" customWidth="1"/>
    <col min="7" max="26" width="9.28515625" style="31" hidden="1" customWidth="1"/>
    <col min="27" max="27" width="9.28515625" style="31" customWidth="1"/>
    <col min="28" max="16384" width="8.7109375" style="31"/>
  </cols>
  <sheetData>
    <row r="1" spans="1:27" ht="34.35" customHeight="1" thickBot="1" x14ac:dyDescent="0.25">
      <c r="A1" s="513" t="s">
        <v>63</v>
      </c>
      <c r="B1" s="514"/>
      <c r="C1" s="515" t="s">
        <v>995</v>
      </c>
      <c r="D1" s="516"/>
      <c r="F1" s="98"/>
      <c r="G1" s="98"/>
      <c r="H1" s="144"/>
      <c r="I1" s="144"/>
      <c r="J1" s="144"/>
      <c r="K1" s="144" t="s">
        <v>940</v>
      </c>
      <c r="L1" s="144"/>
      <c r="M1" s="325">
        <v>100</v>
      </c>
      <c r="N1" s="98"/>
      <c r="O1" s="98"/>
      <c r="P1" s="98"/>
      <c r="Q1" s="144"/>
      <c r="R1" s="144"/>
      <c r="S1" s="144"/>
      <c r="T1" s="144"/>
      <c r="U1" s="144"/>
      <c r="V1" s="144"/>
      <c r="W1" s="144"/>
      <c r="X1" s="144"/>
      <c r="Y1" s="144"/>
      <c r="Z1" s="144"/>
      <c r="AA1" s="144"/>
    </row>
    <row r="2" spans="1:27" ht="34.35" customHeight="1" thickBot="1" x14ac:dyDescent="0.25">
      <c r="A2" s="274" t="s">
        <v>459</v>
      </c>
      <c r="B2" s="405" t="s">
        <v>392</v>
      </c>
      <c r="C2" s="275" t="s">
        <v>812</v>
      </c>
      <c r="D2" s="285"/>
      <c r="E2" s="82"/>
      <c r="F2" s="98"/>
      <c r="G2" s="98"/>
      <c r="H2" s="144">
        <v>1</v>
      </c>
      <c r="I2" s="144" t="s">
        <v>392</v>
      </c>
      <c r="J2" s="144">
        <v>50</v>
      </c>
      <c r="K2" s="144" t="s">
        <v>936</v>
      </c>
      <c r="L2" s="144"/>
      <c r="M2" s="325">
        <v>50</v>
      </c>
      <c r="N2" s="98"/>
      <c r="O2" s="98"/>
      <c r="P2" s="98"/>
      <c r="Q2" s="144"/>
      <c r="R2" s="144"/>
      <c r="S2" s="144"/>
      <c r="T2" s="144"/>
      <c r="U2" s="144"/>
      <c r="V2" s="144"/>
      <c r="W2" s="144"/>
      <c r="X2" s="144"/>
      <c r="Y2" s="144"/>
      <c r="Z2" s="144"/>
      <c r="AA2" s="144"/>
    </row>
    <row r="3" spans="1:27" ht="34.35" customHeight="1" x14ac:dyDescent="0.2">
      <c r="A3" s="520" t="s">
        <v>959</v>
      </c>
      <c r="B3" s="520"/>
      <c r="C3" s="520"/>
      <c r="D3" s="520"/>
      <c r="E3" s="82"/>
      <c r="F3" s="98"/>
      <c r="G3" s="98"/>
      <c r="H3" s="144">
        <v>2</v>
      </c>
      <c r="I3" s="144" t="s">
        <v>271</v>
      </c>
      <c r="J3" s="144">
        <v>60</v>
      </c>
      <c r="K3" s="144" t="s">
        <v>937</v>
      </c>
      <c r="L3" s="144"/>
      <c r="M3" s="325">
        <v>0</v>
      </c>
      <c r="N3" s="98"/>
      <c r="O3" s="98"/>
      <c r="P3" s="98"/>
      <c r="Q3" s="144"/>
      <c r="R3" s="144"/>
      <c r="S3" s="144"/>
      <c r="T3" s="144"/>
      <c r="U3" s="144"/>
      <c r="V3" s="144"/>
      <c r="W3" s="144"/>
      <c r="X3" s="144"/>
      <c r="Y3" s="144"/>
      <c r="Z3" s="144"/>
      <c r="AA3" s="144"/>
    </row>
    <row r="4" spans="1:27" ht="30" customHeight="1" x14ac:dyDescent="0.2">
      <c r="A4" s="517" t="s">
        <v>269</v>
      </c>
      <c r="B4" s="517"/>
      <c r="C4" s="518" t="s">
        <v>884</v>
      </c>
      <c r="D4" s="517"/>
      <c r="F4" s="98"/>
      <c r="G4" s="98"/>
      <c r="H4" s="144">
        <v>3</v>
      </c>
      <c r="I4" s="144" t="s">
        <v>393</v>
      </c>
      <c r="J4" s="144">
        <v>70</v>
      </c>
      <c r="K4" s="144" t="s">
        <v>938</v>
      </c>
      <c r="L4" s="144"/>
      <c r="M4" s="325">
        <v>50</v>
      </c>
      <c r="N4" s="98"/>
      <c r="O4" s="98"/>
      <c r="P4" s="98"/>
      <c r="Q4" s="144"/>
      <c r="R4" s="144"/>
      <c r="S4" s="144"/>
      <c r="T4" s="144"/>
      <c r="U4" s="144"/>
      <c r="V4" s="144"/>
      <c r="W4" s="144"/>
      <c r="X4" s="144"/>
      <c r="Y4" s="144"/>
      <c r="Z4" s="144"/>
      <c r="AA4" s="144"/>
    </row>
    <row r="5" spans="1:27" ht="29.65" customHeight="1" x14ac:dyDescent="0.2">
      <c r="A5" s="289" t="s">
        <v>169</v>
      </c>
      <c r="B5" s="519" t="s">
        <v>229</v>
      </c>
      <c r="C5" s="519"/>
      <c r="D5" s="289" t="s">
        <v>170</v>
      </c>
      <c r="F5" s="98"/>
      <c r="G5" s="98"/>
      <c r="H5" s="144">
        <v>4</v>
      </c>
      <c r="I5" s="144" t="s">
        <v>394</v>
      </c>
      <c r="J5" s="144">
        <v>80</v>
      </c>
      <c r="K5" s="144" t="s">
        <v>939</v>
      </c>
      <c r="L5" s="144"/>
      <c r="M5" s="325"/>
      <c r="N5" s="98"/>
      <c r="O5" s="98"/>
      <c r="P5" s="98"/>
      <c r="Q5" s="144"/>
      <c r="R5" s="144"/>
      <c r="S5" s="144"/>
      <c r="T5" s="144"/>
      <c r="U5" s="144"/>
      <c r="V5" s="144"/>
      <c r="W5" s="144"/>
      <c r="X5" s="144"/>
      <c r="Y5" s="144"/>
      <c r="Z5" s="144"/>
      <c r="AA5" s="144"/>
    </row>
    <row r="6" spans="1:27" ht="16.149999999999999" customHeight="1" x14ac:dyDescent="0.2">
      <c r="A6" s="56" t="s">
        <v>113</v>
      </c>
      <c r="B6" s="157">
        <v>0</v>
      </c>
      <c r="C6" s="158">
        <v>0</v>
      </c>
      <c r="D6" s="56" t="s">
        <v>148</v>
      </c>
      <c r="F6" s="98"/>
      <c r="G6" s="98"/>
      <c r="H6" s="144"/>
      <c r="I6" s="144"/>
      <c r="J6" s="144"/>
      <c r="K6" s="144"/>
      <c r="L6" s="144"/>
      <c r="M6" s="144"/>
      <c r="N6" s="98"/>
      <c r="O6" s="98"/>
      <c r="P6" s="98"/>
      <c r="Q6" s="144"/>
      <c r="R6" s="144"/>
      <c r="S6" s="144"/>
      <c r="T6" s="144"/>
      <c r="U6" s="144"/>
      <c r="V6" s="144"/>
      <c r="W6" s="144"/>
      <c r="X6" s="144"/>
      <c r="Y6" s="144"/>
      <c r="Z6" s="144"/>
      <c r="AA6" s="144"/>
    </row>
    <row r="7" spans="1:27" ht="16.149999999999999" customHeight="1" x14ac:dyDescent="0.2">
      <c r="A7" s="47" t="s">
        <v>114</v>
      </c>
      <c r="B7" s="157">
        <v>0</v>
      </c>
      <c r="C7" s="158">
        <v>0</v>
      </c>
      <c r="D7" s="56" t="s">
        <v>147</v>
      </c>
      <c r="F7" s="98"/>
      <c r="G7" s="98"/>
      <c r="H7" s="144">
        <f>INDEX(H2:H5, MATCH(B2, I2:I5,0))</f>
        <v>1</v>
      </c>
      <c r="I7" s="144"/>
      <c r="J7" s="144">
        <f>INDEX(J1:J5, MATCH(C15, K1:K5,0))</f>
        <v>0</v>
      </c>
      <c r="K7" s="144"/>
      <c r="L7" s="144"/>
      <c r="M7" s="144"/>
      <c r="N7" s="98"/>
      <c r="O7" s="98"/>
      <c r="P7" s="98"/>
      <c r="Q7" s="144"/>
      <c r="R7" s="144"/>
      <c r="S7" s="144"/>
      <c r="T7" s="144"/>
      <c r="U7" s="144"/>
      <c r="V7" s="144"/>
      <c r="W7" s="144"/>
      <c r="X7" s="144"/>
      <c r="Y7" s="144"/>
      <c r="Z7" s="144"/>
      <c r="AA7" s="144"/>
    </row>
    <row r="8" spans="1:27" ht="16.149999999999999" customHeight="1" x14ac:dyDescent="0.2">
      <c r="A8" s="56" t="s">
        <v>115</v>
      </c>
      <c r="B8" s="157">
        <v>0</v>
      </c>
      <c r="C8" s="158">
        <v>0</v>
      </c>
      <c r="D8" s="56" t="s">
        <v>146</v>
      </c>
      <c r="E8" s="32" t="s">
        <v>172</v>
      </c>
      <c r="F8" s="98"/>
      <c r="G8" s="98"/>
      <c r="H8" s="144"/>
      <c r="I8" s="144"/>
      <c r="J8" s="144"/>
      <c r="K8" s="144"/>
      <c r="L8" s="144"/>
      <c r="M8" s="144"/>
      <c r="N8" s="98"/>
      <c r="O8" s="98"/>
      <c r="P8" s="98"/>
      <c r="Q8" s="144"/>
      <c r="R8" s="144"/>
      <c r="S8" s="144"/>
      <c r="T8" s="144"/>
      <c r="U8" s="144"/>
      <c r="V8" s="144"/>
      <c r="W8" s="144"/>
      <c r="X8" s="144"/>
      <c r="Y8" s="144"/>
      <c r="Z8" s="144"/>
      <c r="AA8" s="144"/>
    </row>
    <row r="9" spans="1:27" ht="16.149999999999999" customHeight="1" thickBot="1" x14ac:dyDescent="0.25">
      <c r="C9" s="311">
        <v>0</v>
      </c>
      <c r="D9" s="312" t="s">
        <v>117</v>
      </c>
      <c r="E9" s="33"/>
      <c r="F9" s="98"/>
      <c r="G9" s="98"/>
      <c r="H9" s="144"/>
      <c r="I9" s="144"/>
      <c r="J9" s="144"/>
      <c r="K9" s="144"/>
      <c r="L9" s="144"/>
      <c r="M9" s="144"/>
      <c r="N9" s="98"/>
      <c r="O9" s="98"/>
      <c r="P9" s="98"/>
      <c r="Q9" s="144"/>
      <c r="R9" s="144"/>
      <c r="S9" s="144"/>
      <c r="T9" s="144"/>
      <c r="U9" s="144"/>
      <c r="V9" s="144"/>
      <c r="W9" s="144"/>
      <c r="X9" s="144"/>
      <c r="Y9" s="144"/>
      <c r="Z9" s="144"/>
      <c r="AA9" s="144"/>
    </row>
    <row r="10" spans="1:27" ht="16.149999999999999" customHeight="1" thickTop="1" x14ac:dyDescent="0.2">
      <c r="A10" s="511" t="s">
        <v>898</v>
      </c>
      <c r="B10" s="512"/>
      <c r="C10" s="309">
        <v>0</v>
      </c>
      <c r="D10" s="310" t="s">
        <v>145</v>
      </c>
      <c r="E10" s="32" t="s">
        <v>173</v>
      </c>
      <c r="F10" s="98"/>
      <c r="G10" s="98"/>
      <c r="H10" s="98"/>
      <c r="I10" s="98"/>
      <c r="J10" s="98"/>
      <c r="K10" s="98"/>
      <c r="L10" s="98"/>
      <c r="M10" s="98"/>
      <c r="N10" s="98"/>
      <c r="O10" s="98"/>
      <c r="P10" s="98"/>
      <c r="Q10" s="144"/>
      <c r="R10" s="144"/>
      <c r="S10" s="144"/>
      <c r="T10" s="144"/>
      <c r="U10" s="144"/>
      <c r="V10" s="144"/>
      <c r="W10" s="144"/>
      <c r="X10" s="144"/>
      <c r="Y10" s="144"/>
      <c r="Z10" s="144"/>
      <c r="AA10" s="144"/>
    </row>
    <row r="11" spans="1:27" ht="16.149999999999999" customHeight="1" x14ac:dyDescent="0.2">
      <c r="A11" s="153" t="s">
        <v>116</v>
      </c>
      <c r="B11" s="157">
        <v>0</v>
      </c>
      <c r="C11" s="158">
        <v>0</v>
      </c>
      <c r="D11" s="153" t="s">
        <v>149</v>
      </c>
      <c r="F11" s="98"/>
      <c r="G11" s="98"/>
      <c r="H11" s="98"/>
      <c r="I11" s="98"/>
      <c r="J11" s="98"/>
      <c r="K11" s="98"/>
      <c r="L11" s="98"/>
      <c r="M11" s="98"/>
      <c r="N11" s="98"/>
      <c r="O11" s="98"/>
      <c r="P11" s="98"/>
      <c r="Q11" s="144"/>
      <c r="R11" s="144"/>
      <c r="S11" s="144"/>
      <c r="T11" s="144"/>
      <c r="U11" s="144"/>
      <c r="V11" s="144"/>
      <c r="W11" s="144"/>
      <c r="X11" s="144"/>
      <c r="Y11" s="144"/>
      <c r="Z11" s="144"/>
      <c r="AA11" s="144"/>
    </row>
    <row r="12" spans="1:27" ht="16.149999999999999" customHeight="1" x14ac:dyDescent="0.2">
      <c r="A12" s="153" t="s">
        <v>150</v>
      </c>
      <c r="B12" s="157">
        <v>0</v>
      </c>
      <c r="C12" s="158">
        <v>0</v>
      </c>
      <c r="D12" s="153" t="s">
        <v>151</v>
      </c>
      <c r="F12" s="98"/>
      <c r="G12" s="98"/>
      <c r="H12" s="98"/>
      <c r="I12" s="98"/>
      <c r="J12" s="98"/>
      <c r="K12" s="98"/>
      <c r="L12" s="98"/>
      <c r="M12" s="98"/>
      <c r="N12" s="98"/>
      <c r="O12" s="98"/>
      <c r="P12" s="98"/>
      <c r="Q12" s="144"/>
      <c r="R12" s="144"/>
      <c r="S12" s="144"/>
      <c r="T12" s="144"/>
      <c r="U12" s="144"/>
      <c r="V12" s="144"/>
      <c r="W12" s="144"/>
      <c r="X12" s="144"/>
      <c r="Y12" s="144"/>
      <c r="Z12" s="144"/>
      <c r="AA12" s="144"/>
    </row>
    <row r="13" spans="1:27" ht="16.149999999999999" customHeight="1" x14ac:dyDescent="0.2">
      <c r="A13" s="322"/>
      <c r="B13" s="281"/>
      <c r="C13" s="281"/>
      <c r="D13" s="322"/>
      <c r="F13" s="98"/>
      <c r="G13" s="98"/>
      <c r="H13" s="98"/>
      <c r="I13" s="98"/>
      <c r="J13" s="98"/>
      <c r="K13" s="98"/>
      <c r="L13" s="98"/>
      <c r="M13" s="98"/>
      <c r="N13" s="98"/>
      <c r="O13" s="98"/>
      <c r="P13" s="98"/>
      <c r="Q13" s="144"/>
      <c r="R13" s="144"/>
      <c r="S13" s="144"/>
      <c r="T13" s="144"/>
      <c r="U13" s="144"/>
      <c r="V13" s="144"/>
      <c r="W13" s="144"/>
      <c r="X13" s="144"/>
      <c r="Y13" s="144"/>
      <c r="Z13" s="144"/>
      <c r="AA13" s="144"/>
    </row>
    <row r="14" spans="1:27" ht="16.149999999999999" customHeight="1" x14ac:dyDescent="0.2">
      <c r="A14" s="521" t="s">
        <v>943</v>
      </c>
      <c r="B14" s="522"/>
      <c r="C14" s="522"/>
      <c r="D14" s="523"/>
      <c r="F14" s="98"/>
      <c r="G14" s="98"/>
      <c r="H14" s="98"/>
      <c r="I14" s="98"/>
      <c r="J14" s="98"/>
      <c r="K14" s="98"/>
      <c r="L14" s="98"/>
      <c r="M14" s="98"/>
      <c r="N14" s="98"/>
      <c r="O14" s="98"/>
      <c r="P14" s="98"/>
      <c r="Q14" s="144"/>
      <c r="R14" s="144"/>
      <c r="S14" s="144"/>
      <c r="T14" s="144"/>
      <c r="U14" s="144"/>
      <c r="V14" s="144"/>
      <c r="W14" s="144"/>
      <c r="X14" s="144"/>
      <c r="Y14" s="144"/>
      <c r="Z14" s="144"/>
      <c r="AA14" s="144"/>
    </row>
    <row r="15" spans="1:27" ht="16.149999999999999" customHeight="1" x14ac:dyDescent="0.2">
      <c r="A15" s="47" t="s">
        <v>935</v>
      </c>
      <c r="B15" s="406"/>
      <c r="C15" s="406" t="s">
        <v>940</v>
      </c>
      <c r="D15" s="47" t="s">
        <v>941</v>
      </c>
      <c r="F15" s="98"/>
      <c r="G15" s="98"/>
      <c r="H15" s="98"/>
      <c r="I15" s="98"/>
      <c r="J15" s="98"/>
      <c r="K15" s="98"/>
      <c r="L15" s="98"/>
      <c r="M15" s="98"/>
      <c r="N15" s="98"/>
      <c r="O15" s="98"/>
      <c r="P15" s="98"/>
      <c r="Q15" s="144"/>
      <c r="R15" s="144"/>
      <c r="S15" s="144"/>
      <c r="T15" s="144"/>
      <c r="U15" s="144"/>
      <c r="V15" s="144"/>
      <c r="W15" s="144"/>
      <c r="X15" s="144"/>
      <c r="Y15" s="144"/>
      <c r="Z15" s="144"/>
      <c r="AA15" s="144"/>
    </row>
    <row r="16" spans="1:27" ht="16.149999999999999" customHeight="1" x14ac:dyDescent="0.2">
      <c r="A16" s="321"/>
      <c r="B16" s="321"/>
      <c r="C16" s="321"/>
      <c r="D16" s="321"/>
      <c r="F16" s="98"/>
      <c r="G16" s="98"/>
      <c r="H16" s="98"/>
      <c r="I16" s="98"/>
      <c r="J16" s="98"/>
      <c r="K16" s="98"/>
      <c r="L16" s="98"/>
      <c r="M16" s="98"/>
      <c r="N16" s="98"/>
      <c r="O16" s="98"/>
      <c r="P16" s="98"/>
      <c r="Q16" s="144"/>
      <c r="R16" s="144"/>
      <c r="S16" s="144"/>
      <c r="T16" s="144"/>
      <c r="U16" s="144"/>
      <c r="V16" s="144"/>
      <c r="W16" s="144"/>
      <c r="X16" s="144"/>
      <c r="Y16" s="144"/>
      <c r="Z16" s="144"/>
      <c r="AA16" s="144"/>
    </row>
    <row r="17" spans="1:27" ht="18" customHeight="1" x14ac:dyDescent="0.2">
      <c r="A17" s="521" t="s">
        <v>214</v>
      </c>
      <c r="B17" s="529"/>
      <c r="C17" s="529"/>
      <c r="D17" s="530"/>
      <c r="F17" s="98"/>
      <c r="G17" s="98"/>
      <c r="H17" s="98"/>
      <c r="I17" s="98"/>
      <c r="J17" s="98"/>
      <c r="K17" s="98"/>
      <c r="L17" s="98"/>
      <c r="M17" s="98"/>
      <c r="N17" s="98"/>
      <c r="O17" s="98"/>
      <c r="P17" s="98"/>
      <c r="Q17" s="144"/>
      <c r="R17" s="144"/>
      <c r="S17" s="144"/>
      <c r="T17" s="144"/>
      <c r="U17" s="144"/>
      <c r="V17" s="144"/>
      <c r="W17" s="144"/>
      <c r="X17" s="144"/>
      <c r="Y17" s="144"/>
      <c r="Z17" s="144"/>
      <c r="AA17" s="144"/>
    </row>
    <row r="18" spans="1:27" ht="16.149999999999999" customHeight="1" x14ac:dyDescent="0.2">
      <c r="A18" s="47" t="s">
        <v>381</v>
      </c>
      <c r="B18" s="55">
        <f>(N(B6)/20.05)+(N(B7)/12.15)+(N(B8)/23)+(N(B11)/39.1)+(N(B12)/28)</f>
        <v>0</v>
      </c>
      <c r="C18" s="43">
        <f>ABS(B18-B19)</f>
        <v>0</v>
      </c>
      <c r="D18" s="47" t="s">
        <v>491</v>
      </c>
      <c r="F18" s="98"/>
      <c r="G18" s="98"/>
      <c r="H18" s="98"/>
      <c r="I18" s="98"/>
      <c r="J18" s="98"/>
      <c r="K18" s="98"/>
      <c r="L18" s="98"/>
      <c r="M18" s="98"/>
      <c r="N18" s="98"/>
      <c r="O18" s="98"/>
      <c r="P18" s="98"/>
      <c r="Q18" s="144"/>
      <c r="R18" s="144"/>
      <c r="S18" s="144"/>
      <c r="T18" s="144"/>
      <c r="U18" s="144"/>
      <c r="V18" s="144"/>
      <c r="W18" s="144"/>
      <c r="X18" s="144"/>
      <c r="Y18" s="144"/>
      <c r="Z18" s="144"/>
      <c r="AA18" s="144"/>
    </row>
    <row r="19" spans="1:27" ht="16.149999999999999" customHeight="1" x14ac:dyDescent="0.2">
      <c r="A19" s="47" t="s">
        <v>382</v>
      </c>
      <c r="B19" s="55">
        <f>(N(C6)/61)+(N(C7)/30)+(N(C8)/48)+(N(C9)/35.45)+(N(C10)/62)+(N(C11)/46)+(N(C12)/19)</f>
        <v>0</v>
      </c>
      <c r="C19" s="125">
        <f>SUM(B6:B12)+SUM(C7:C12)+(C6*60/122)</f>
        <v>0</v>
      </c>
      <c r="D19" s="47" t="s">
        <v>374</v>
      </c>
      <c r="F19" s="98"/>
      <c r="G19" s="98"/>
      <c r="H19" s="98"/>
      <c r="I19" s="98"/>
      <c r="J19" s="98"/>
      <c r="K19" s="98"/>
      <c r="L19" s="98"/>
      <c r="M19" s="98"/>
      <c r="N19" s="98"/>
      <c r="O19" s="98"/>
      <c r="P19" s="98"/>
      <c r="Q19" s="144"/>
      <c r="R19" s="144"/>
      <c r="S19" s="144"/>
      <c r="T19" s="144"/>
      <c r="U19" s="144"/>
      <c r="V19" s="144"/>
      <c r="W19" s="144"/>
      <c r="X19" s="144"/>
      <c r="Y19" s="144"/>
      <c r="Z19" s="144"/>
      <c r="AA19" s="144"/>
    </row>
    <row r="20" spans="1:27" ht="16.149999999999999" customHeight="1" x14ac:dyDescent="0.2">
      <c r="A20" s="531" t="str">
        <f>IF((ABS(B18-B19)&gt;0.5), "Water Report is unbalanced. The Cation and Anion totals should be within 0.5 meq/L of each other","")</f>
        <v/>
      </c>
      <c r="B20" s="531"/>
      <c r="C20" s="531"/>
      <c r="D20" s="531"/>
      <c r="F20" s="98"/>
      <c r="G20" s="98"/>
      <c r="H20" s="98"/>
      <c r="I20" s="98"/>
      <c r="J20" s="98"/>
      <c r="K20" s="98"/>
      <c r="L20" s="98"/>
      <c r="M20" s="98"/>
      <c r="N20" s="98"/>
      <c r="O20" s="98"/>
      <c r="P20" s="98"/>
      <c r="Q20" s="144"/>
      <c r="R20" s="144"/>
      <c r="S20" s="144"/>
      <c r="T20" s="144"/>
      <c r="U20" s="144"/>
      <c r="V20" s="144"/>
      <c r="W20" s="144"/>
      <c r="X20" s="144"/>
      <c r="Y20" s="144"/>
      <c r="Z20" s="144"/>
      <c r="AA20" s="144"/>
    </row>
    <row r="21" spans="1:27" ht="18" customHeight="1" x14ac:dyDescent="0.2">
      <c r="A21" s="521" t="s">
        <v>213</v>
      </c>
      <c r="B21" s="529"/>
      <c r="C21" s="529"/>
      <c r="D21" s="530"/>
      <c r="F21" s="98"/>
      <c r="G21" s="98"/>
      <c r="H21" s="98"/>
      <c r="I21" s="98"/>
      <c r="J21" s="98"/>
      <c r="K21" s="98"/>
      <c r="L21" s="98"/>
      <c r="M21" s="98"/>
      <c r="N21" s="98"/>
      <c r="O21" s="98"/>
      <c r="P21" s="98"/>
      <c r="Q21" s="144"/>
      <c r="R21" s="144"/>
      <c r="S21" s="144"/>
      <c r="T21" s="144"/>
      <c r="U21" s="144"/>
      <c r="V21" s="144"/>
      <c r="W21" s="144"/>
      <c r="X21" s="144"/>
      <c r="Y21" s="144"/>
      <c r="Z21" s="144"/>
      <c r="AA21" s="144"/>
    </row>
    <row r="22" spans="1:27" ht="16.149999999999999" customHeight="1" x14ac:dyDescent="0.2">
      <c r="A22" s="34" t="s">
        <v>333</v>
      </c>
      <c r="B22" s="16">
        <f>((N(B6)/20.04)+(N(B7)/12.15))*50</f>
        <v>0</v>
      </c>
      <c r="C22" s="17">
        <f>50*((N(C6)/61)+(2*(N(C7)/60)))</f>
        <v>0</v>
      </c>
      <c r="D22" s="34" t="s">
        <v>0</v>
      </c>
      <c r="F22" s="98"/>
      <c r="G22" s="98"/>
      <c r="H22" s="98"/>
      <c r="I22" s="98"/>
      <c r="J22" s="98"/>
      <c r="K22" s="98"/>
      <c r="L22" s="98"/>
      <c r="M22" s="98"/>
      <c r="N22" s="98"/>
      <c r="O22" s="98"/>
      <c r="P22" s="98"/>
      <c r="Q22" s="144"/>
      <c r="R22" s="144"/>
      <c r="S22" s="144"/>
      <c r="T22" s="144"/>
      <c r="U22" s="144"/>
      <c r="V22" s="144"/>
      <c r="W22" s="144"/>
      <c r="X22" s="144"/>
      <c r="Y22" s="144"/>
      <c r="Z22" s="144"/>
      <c r="AA22" s="144"/>
    </row>
    <row r="23" spans="1:27" ht="16.149999999999999" customHeight="1" x14ac:dyDescent="0.2">
      <c r="A23" s="34" t="s">
        <v>334</v>
      </c>
      <c r="B23" s="16">
        <f>N(B22)-N(B24)</f>
        <v>0</v>
      </c>
      <c r="C23" s="17">
        <f>(N(C22)-((N(B6)*0.7143)+(N(B7)*0.5879)))</f>
        <v>0</v>
      </c>
      <c r="D23" s="34" t="s">
        <v>11</v>
      </c>
      <c r="F23" s="98"/>
      <c r="G23" s="98"/>
      <c r="H23" s="98"/>
      <c r="I23" s="98"/>
      <c r="J23" s="98"/>
      <c r="K23" s="98"/>
      <c r="L23" s="98"/>
      <c r="M23" s="98"/>
      <c r="N23" s="98"/>
      <c r="O23" s="98"/>
      <c r="P23" s="98"/>
      <c r="Q23" s="144"/>
      <c r="R23" s="144"/>
      <c r="S23" s="144"/>
      <c r="T23" s="144"/>
      <c r="U23" s="144"/>
      <c r="V23" s="144"/>
      <c r="W23" s="144"/>
      <c r="X23" s="144"/>
      <c r="Y23" s="144"/>
      <c r="Z23" s="144"/>
      <c r="AA23" s="144"/>
    </row>
    <row r="24" spans="1:27" ht="16.149999999999999" customHeight="1" x14ac:dyDescent="0.2">
      <c r="A24" s="34" t="s">
        <v>335</v>
      </c>
      <c r="B24" s="46">
        <f>IF(N(C22)&lt;N(B22),N(C22),N(B22))</f>
        <v>0</v>
      </c>
      <c r="C24" s="214"/>
      <c r="D24" s="215"/>
      <c r="F24" s="98"/>
      <c r="G24" s="98"/>
      <c r="H24" s="98"/>
      <c r="I24" s="98"/>
      <c r="J24" s="98"/>
      <c r="K24" s="98"/>
      <c r="L24" s="98"/>
      <c r="M24" s="98"/>
      <c r="N24" s="98"/>
      <c r="O24" s="98"/>
      <c r="P24" s="98"/>
      <c r="Q24" s="144"/>
      <c r="R24" s="144"/>
      <c r="S24" s="144"/>
      <c r="T24" s="144"/>
      <c r="U24" s="144"/>
      <c r="V24" s="144"/>
      <c r="W24" s="144"/>
      <c r="X24" s="144"/>
      <c r="Y24" s="144"/>
      <c r="Z24" s="144"/>
      <c r="AA24" s="144"/>
    </row>
    <row r="25" spans="1:27" ht="16.149999999999999" customHeight="1" x14ac:dyDescent="0.2">
      <c r="A25" s="280"/>
      <c r="B25" s="90"/>
      <c r="C25" s="90"/>
      <c r="D25" s="280"/>
      <c r="F25" s="98"/>
      <c r="G25" s="98"/>
      <c r="H25" s="98"/>
      <c r="I25" s="98"/>
      <c r="J25" s="98"/>
      <c r="K25" s="98"/>
      <c r="L25" s="98"/>
      <c r="M25" s="98"/>
      <c r="N25" s="98"/>
      <c r="O25" s="98"/>
      <c r="P25" s="98"/>
      <c r="Q25" s="144"/>
      <c r="R25" s="144"/>
      <c r="S25" s="144"/>
      <c r="T25" s="144"/>
      <c r="U25" s="144"/>
      <c r="V25" s="144"/>
      <c r="W25" s="144"/>
      <c r="X25" s="144"/>
      <c r="Y25" s="144"/>
      <c r="Z25" s="144"/>
      <c r="AA25" s="144"/>
    </row>
    <row r="26" spans="1:27" ht="36.6" customHeight="1" x14ac:dyDescent="0.2">
      <c r="A26" s="524" t="s">
        <v>571</v>
      </c>
      <c r="B26" s="525"/>
      <c r="C26" s="525"/>
      <c r="D26" s="526"/>
      <c r="F26" s="98"/>
      <c r="G26" s="98"/>
      <c r="H26" s="98"/>
      <c r="I26" s="98"/>
      <c r="J26" s="98"/>
      <c r="K26" s="98"/>
      <c r="L26" s="98"/>
      <c r="M26" s="98"/>
      <c r="N26" s="98"/>
      <c r="O26" s="98"/>
      <c r="P26" s="98"/>
      <c r="Q26" s="144"/>
      <c r="R26" s="144"/>
      <c r="S26" s="144"/>
      <c r="T26" s="144"/>
      <c r="U26" s="144"/>
      <c r="V26" s="144"/>
      <c r="W26" s="144"/>
      <c r="X26" s="144"/>
      <c r="Y26" s="144"/>
      <c r="Z26" s="144"/>
      <c r="AA26" s="144"/>
    </row>
    <row r="27" spans="1:27" ht="38.65" customHeight="1" x14ac:dyDescent="0.2">
      <c r="A27" s="34" t="s">
        <v>457</v>
      </c>
      <c r="B27" s="34" t="s">
        <v>154</v>
      </c>
      <c r="C27" s="34" t="s">
        <v>124</v>
      </c>
      <c r="D27" s="34" t="s">
        <v>882</v>
      </c>
      <c r="G27" s="144"/>
      <c r="H27" s="144"/>
      <c r="I27" s="144"/>
      <c r="J27" s="144"/>
      <c r="K27" s="144"/>
      <c r="L27" s="144"/>
      <c r="M27" s="144"/>
      <c r="N27" s="144"/>
      <c r="O27" s="144"/>
      <c r="P27" s="144"/>
      <c r="Q27" s="144"/>
      <c r="R27" s="144"/>
      <c r="S27" s="144"/>
      <c r="T27" s="144"/>
      <c r="U27" s="144"/>
      <c r="V27" s="144"/>
      <c r="W27" s="144"/>
      <c r="X27" s="144"/>
      <c r="Y27" s="144"/>
      <c r="Z27" s="144"/>
      <c r="AA27" s="144"/>
    </row>
    <row r="28" spans="1:27" ht="15.6" customHeight="1" x14ac:dyDescent="0.2">
      <c r="A28" s="159">
        <v>100</v>
      </c>
      <c r="B28" s="159">
        <v>7</v>
      </c>
      <c r="C28" s="134">
        <f>((N(A28)/50)/(1+(2*10^(N(B28)-10.33))))*61</f>
        <v>121.88597928851313</v>
      </c>
      <c r="D28" s="2">
        <f>((N(A28)/50)/(1+(2*(10^(N(B28)-10.33))))*(10^(N(B28)-10.33)))*60</f>
        <v>5.6075759747647023E-2</v>
      </c>
      <c r="G28" s="144"/>
      <c r="H28" s="144"/>
      <c r="I28" s="144"/>
      <c r="J28" s="144"/>
      <c r="K28" s="144"/>
      <c r="L28" s="144"/>
      <c r="M28" s="144"/>
      <c r="N28" s="144"/>
      <c r="O28" s="144"/>
      <c r="P28" s="144"/>
      <c r="Q28" s="144"/>
      <c r="R28" s="144"/>
      <c r="S28" s="144"/>
      <c r="T28" s="144"/>
      <c r="U28" s="144"/>
      <c r="V28" s="144"/>
      <c r="W28" s="144"/>
      <c r="X28" s="144"/>
      <c r="Y28" s="144"/>
      <c r="Z28" s="144"/>
      <c r="AA28" s="144"/>
    </row>
    <row r="29" spans="1:27" ht="14.65" customHeight="1" x14ac:dyDescent="0.2">
      <c r="A29" s="281"/>
      <c r="B29" s="281"/>
      <c r="C29" s="282"/>
      <c r="D29" s="282"/>
      <c r="G29" s="144"/>
      <c r="H29" s="144"/>
      <c r="I29" s="144"/>
      <c r="J29" s="144"/>
      <c r="K29" s="144"/>
      <c r="L29" s="144"/>
      <c r="M29" s="144"/>
      <c r="N29" s="144"/>
      <c r="O29" s="144"/>
      <c r="P29" s="144"/>
      <c r="Q29" s="144"/>
      <c r="R29" s="144"/>
      <c r="S29" s="144"/>
      <c r="T29" s="144"/>
      <c r="U29" s="144"/>
      <c r="V29" s="144"/>
      <c r="W29" s="144"/>
      <c r="X29" s="144"/>
      <c r="Y29" s="144"/>
      <c r="Z29" s="144"/>
      <c r="AA29" s="144"/>
    </row>
    <row r="30" spans="1:27" ht="24.6" customHeight="1" x14ac:dyDescent="0.3">
      <c r="A30" s="527" t="s">
        <v>253</v>
      </c>
      <c r="B30" s="527"/>
      <c r="C30" s="527"/>
      <c r="D30" s="527"/>
      <c r="G30" s="144"/>
      <c r="H30" s="144"/>
      <c r="I30" s="144"/>
      <c r="J30" s="144"/>
      <c r="K30" s="144"/>
      <c r="L30" s="144"/>
      <c r="M30" s="144"/>
      <c r="N30" s="144"/>
      <c r="O30" s="144"/>
      <c r="P30" s="144"/>
      <c r="Q30" s="144"/>
      <c r="R30" s="144"/>
      <c r="S30" s="144"/>
      <c r="T30" s="144"/>
      <c r="U30" s="144"/>
      <c r="V30" s="144"/>
      <c r="W30" s="144"/>
      <c r="X30" s="144"/>
      <c r="Y30" s="144"/>
      <c r="Z30" s="144"/>
      <c r="AA30" s="144"/>
    </row>
    <row r="31" spans="1:27" ht="18" customHeight="1" x14ac:dyDescent="0.2">
      <c r="A31" s="83" t="s">
        <v>252</v>
      </c>
      <c r="B31" s="83" t="s">
        <v>249</v>
      </c>
      <c r="C31" s="83" t="s">
        <v>250</v>
      </c>
      <c r="D31" s="83" t="s">
        <v>251</v>
      </c>
      <c r="G31" s="144"/>
      <c r="H31" s="144"/>
      <c r="I31" s="144"/>
      <c r="J31" s="144"/>
      <c r="K31" s="144"/>
      <c r="L31" s="144"/>
      <c r="M31" s="144"/>
      <c r="N31" s="144"/>
      <c r="O31" s="144"/>
      <c r="P31" s="144"/>
      <c r="Q31" s="144"/>
      <c r="R31" s="144"/>
      <c r="S31" s="144"/>
      <c r="T31" s="144"/>
      <c r="U31" s="144"/>
      <c r="V31" s="144"/>
      <c r="W31" s="144"/>
      <c r="X31" s="144"/>
      <c r="Y31" s="144"/>
      <c r="Z31" s="144"/>
      <c r="AA31" s="144"/>
    </row>
    <row r="32" spans="1:27" ht="16.149999999999999" customHeight="1" x14ac:dyDescent="0.2">
      <c r="A32" s="47" t="s">
        <v>254</v>
      </c>
      <c r="B32" s="157">
        <v>0</v>
      </c>
      <c r="C32" s="48">
        <f>0.401*B32</f>
        <v>0</v>
      </c>
      <c r="D32" s="47" t="s">
        <v>245</v>
      </c>
      <c r="G32" s="144"/>
      <c r="H32" s="144"/>
      <c r="I32" s="144"/>
      <c r="J32" s="144"/>
      <c r="K32" s="144"/>
      <c r="L32" s="144"/>
      <c r="M32" s="144"/>
      <c r="N32" s="144"/>
      <c r="O32" s="144"/>
      <c r="P32" s="144"/>
      <c r="Q32" s="144"/>
      <c r="R32" s="144"/>
      <c r="S32" s="144"/>
      <c r="T32" s="144"/>
      <c r="U32" s="144"/>
      <c r="V32" s="144"/>
      <c r="W32" s="144"/>
      <c r="X32" s="144"/>
      <c r="Y32" s="144"/>
      <c r="Z32" s="144"/>
      <c r="AA32" s="144"/>
    </row>
    <row r="33" spans="1:27" ht="16.149999999999999" customHeight="1" x14ac:dyDescent="0.2">
      <c r="A33" s="47" t="s">
        <v>255</v>
      </c>
      <c r="B33" s="157">
        <v>0</v>
      </c>
      <c r="C33" s="48">
        <f>0.243*B33</f>
        <v>0</v>
      </c>
      <c r="D33" s="47" t="s">
        <v>118</v>
      </c>
      <c r="G33" s="144"/>
      <c r="H33" s="144"/>
      <c r="I33" s="144"/>
      <c r="J33" s="144"/>
      <c r="K33" s="144"/>
      <c r="L33" s="144"/>
      <c r="M33" s="144"/>
      <c r="N33" s="144"/>
      <c r="O33" s="144"/>
      <c r="P33" s="144"/>
      <c r="Q33" s="144"/>
      <c r="R33" s="144"/>
      <c r="S33" s="144"/>
      <c r="T33" s="144"/>
      <c r="U33" s="144"/>
      <c r="V33" s="144"/>
      <c r="W33" s="144"/>
      <c r="X33" s="144"/>
      <c r="Y33" s="144"/>
      <c r="Z33" s="144"/>
      <c r="AA33" s="144"/>
    </row>
    <row r="34" spans="1:27" ht="16.149999999999999" customHeight="1" x14ac:dyDescent="0.2">
      <c r="A34" s="47" t="s">
        <v>256</v>
      </c>
      <c r="B34" s="157">
        <v>0</v>
      </c>
      <c r="C34" s="48">
        <f>1.22*B34</f>
        <v>0</v>
      </c>
      <c r="D34" s="47" t="s">
        <v>123</v>
      </c>
      <c r="G34" s="144"/>
      <c r="H34" s="144"/>
      <c r="I34" s="144"/>
      <c r="J34" s="144"/>
      <c r="K34" s="144"/>
      <c r="L34" s="144"/>
      <c r="M34" s="144"/>
      <c r="N34" s="144"/>
      <c r="O34" s="144"/>
      <c r="P34" s="144"/>
      <c r="Q34" s="144"/>
      <c r="R34" s="144"/>
      <c r="S34" s="144"/>
      <c r="T34" s="144"/>
      <c r="U34" s="144"/>
      <c r="V34" s="144"/>
      <c r="W34" s="144"/>
      <c r="X34" s="144"/>
      <c r="Y34" s="144"/>
      <c r="Z34" s="144"/>
      <c r="AA34" s="144"/>
    </row>
    <row r="35" spans="1:27" ht="16.149999999999999" customHeight="1" x14ac:dyDescent="0.2">
      <c r="A35" s="47" t="s">
        <v>257</v>
      </c>
      <c r="B35" s="157">
        <v>0</v>
      </c>
      <c r="C35" s="48">
        <f>0.6*B35</f>
        <v>0</v>
      </c>
      <c r="D35" s="47" t="s">
        <v>246</v>
      </c>
      <c r="G35" s="144"/>
      <c r="H35" s="144"/>
      <c r="I35" s="144"/>
      <c r="J35" s="144"/>
      <c r="K35" s="144"/>
      <c r="L35" s="144"/>
      <c r="M35" s="144"/>
      <c r="N35" s="144"/>
      <c r="O35" s="144"/>
      <c r="P35" s="144"/>
      <c r="Q35" s="144"/>
      <c r="R35" s="144"/>
      <c r="S35" s="144"/>
      <c r="T35" s="144"/>
      <c r="U35" s="144"/>
      <c r="V35" s="144"/>
      <c r="W35" s="144"/>
      <c r="X35" s="144"/>
      <c r="Y35" s="144"/>
      <c r="Z35" s="144"/>
      <c r="AA35" s="144"/>
    </row>
    <row r="36" spans="1:27" ht="16.149999999999999" customHeight="1" x14ac:dyDescent="0.2">
      <c r="A36" s="47" t="s">
        <v>258</v>
      </c>
      <c r="B36" s="157">
        <v>0</v>
      </c>
      <c r="C36" s="48">
        <f>3*B36</f>
        <v>0</v>
      </c>
      <c r="D36" s="47" t="s">
        <v>247</v>
      </c>
      <c r="G36" s="144"/>
      <c r="H36" s="144"/>
      <c r="I36" s="144"/>
      <c r="J36" s="144"/>
      <c r="K36" s="144"/>
      <c r="L36" s="144"/>
      <c r="M36" s="144"/>
      <c r="N36" s="144"/>
      <c r="O36" s="144"/>
      <c r="P36" s="144"/>
      <c r="Q36" s="144"/>
      <c r="R36" s="144"/>
      <c r="S36" s="144"/>
      <c r="T36" s="144"/>
      <c r="U36" s="144"/>
      <c r="V36" s="144"/>
      <c r="W36" s="144"/>
      <c r="X36" s="144"/>
      <c r="Y36" s="144"/>
      <c r="Z36" s="144"/>
      <c r="AA36" s="144"/>
    </row>
    <row r="37" spans="1:27" ht="16.149999999999999" customHeight="1" x14ac:dyDescent="0.2">
      <c r="A37" s="47" t="s">
        <v>332</v>
      </c>
      <c r="B37" s="157">
        <v>0</v>
      </c>
      <c r="C37" s="48">
        <f>4.43*B37</f>
        <v>0</v>
      </c>
      <c r="D37" s="47" t="s">
        <v>248</v>
      </c>
      <c r="G37" s="144"/>
      <c r="H37" s="144"/>
      <c r="I37" s="144"/>
      <c r="J37" s="144"/>
      <c r="K37" s="144"/>
      <c r="L37" s="144"/>
      <c r="M37" s="144"/>
      <c r="N37" s="144"/>
      <c r="O37" s="144"/>
      <c r="P37" s="144"/>
      <c r="Q37" s="144"/>
      <c r="R37" s="144"/>
      <c r="S37" s="144"/>
      <c r="T37" s="144"/>
      <c r="U37" s="144"/>
      <c r="V37" s="144"/>
      <c r="W37" s="144"/>
      <c r="X37" s="144"/>
      <c r="Y37" s="144"/>
      <c r="Z37" s="144"/>
      <c r="AA37" s="144"/>
    </row>
    <row r="38" spans="1:27" ht="16.149999999999999" customHeight="1" x14ac:dyDescent="0.2">
      <c r="A38" s="47" t="s">
        <v>495</v>
      </c>
      <c r="B38" s="157">
        <v>0</v>
      </c>
      <c r="C38" s="48">
        <f>6.86*B38</f>
        <v>0</v>
      </c>
      <c r="D38" s="47" t="s">
        <v>245</v>
      </c>
      <c r="G38" s="144"/>
      <c r="H38" s="144"/>
      <c r="I38" s="144"/>
      <c r="J38" s="144"/>
      <c r="K38" s="144"/>
      <c r="L38" s="144"/>
      <c r="M38" s="144"/>
      <c r="N38" s="144"/>
      <c r="O38" s="144"/>
      <c r="P38" s="144"/>
      <c r="Q38" s="144"/>
      <c r="R38" s="144"/>
      <c r="S38" s="144"/>
      <c r="T38" s="144"/>
      <c r="U38" s="144"/>
      <c r="V38" s="144"/>
      <c r="W38" s="144"/>
      <c r="X38" s="144"/>
      <c r="Y38" s="144"/>
      <c r="Z38" s="144"/>
      <c r="AA38" s="144"/>
    </row>
    <row r="39" spans="1:27" ht="16.149999999999999" customHeight="1" x14ac:dyDescent="0.2">
      <c r="A39" s="47" t="s">
        <v>496</v>
      </c>
      <c r="B39" s="157">
        <v>0</v>
      </c>
      <c r="C39" s="48">
        <f>5.71*B39</f>
        <v>0</v>
      </c>
      <c r="D39" s="47" t="s">
        <v>245</v>
      </c>
      <c r="G39" s="144"/>
      <c r="H39" s="144"/>
      <c r="I39" s="144"/>
      <c r="J39" s="144"/>
      <c r="K39" s="144"/>
      <c r="L39" s="144"/>
      <c r="M39" s="144"/>
      <c r="N39" s="144"/>
      <c r="O39" s="144"/>
      <c r="P39" s="144"/>
      <c r="Q39" s="144"/>
      <c r="R39" s="144"/>
      <c r="S39" s="144"/>
      <c r="T39" s="144"/>
      <c r="U39" s="144"/>
      <c r="V39" s="144"/>
      <c r="W39" s="144"/>
      <c r="X39" s="144"/>
      <c r="Y39" s="144"/>
      <c r="Z39" s="144"/>
      <c r="AA39" s="144"/>
    </row>
    <row r="40" spans="1:27" ht="16.149999999999999" customHeight="1" x14ac:dyDescent="0.2">
      <c r="A40" s="47" t="s">
        <v>13</v>
      </c>
      <c r="B40" s="157">
        <v>0</v>
      </c>
      <c r="C40" s="48">
        <f>7.14*B40</f>
        <v>0</v>
      </c>
      <c r="D40" s="47" t="s">
        <v>245</v>
      </c>
      <c r="G40" s="144"/>
      <c r="H40" s="144"/>
      <c r="I40" s="144"/>
      <c r="J40" s="144"/>
      <c r="K40" s="144"/>
      <c r="L40" s="144"/>
      <c r="M40" s="144"/>
      <c r="N40" s="144"/>
      <c r="O40" s="144"/>
      <c r="P40" s="144"/>
      <c r="Q40" s="144"/>
      <c r="R40" s="144"/>
      <c r="S40" s="144"/>
      <c r="T40" s="144"/>
      <c r="U40" s="144"/>
      <c r="V40" s="144"/>
      <c r="W40" s="144"/>
      <c r="X40" s="144"/>
      <c r="Y40" s="144"/>
      <c r="Z40" s="144"/>
      <c r="AA40" s="144"/>
    </row>
    <row r="41" spans="1:27" ht="16.149999999999999" customHeight="1" x14ac:dyDescent="0.2">
      <c r="A41" s="47" t="s">
        <v>14</v>
      </c>
      <c r="B41" s="157">
        <v>0</v>
      </c>
      <c r="C41" s="48">
        <f>21.8*B41</f>
        <v>0</v>
      </c>
      <c r="D41" s="47" t="s">
        <v>123</v>
      </c>
      <c r="G41" s="144"/>
      <c r="H41" s="144"/>
      <c r="I41" s="144"/>
      <c r="J41" s="144"/>
      <c r="K41" s="144"/>
      <c r="L41" s="144"/>
      <c r="M41" s="144"/>
      <c r="N41" s="144"/>
      <c r="O41" s="144"/>
      <c r="P41" s="144"/>
      <c r="Q41" s="144"/>
      <c r="R41" s="144"/>
      <c r="S41" s="144"/>
      <c r="T41" s="144"/>
      <c r="U41" s="144"/>
      <c r="V41" s="144"/>
      <c r="W41" s="144"/>
      <c r="X41" s="144"/>
      <c r="Y41" s="144"/>
      <c r="Z41" s="144"/>
      <c r="AA41" s="144"/>
    </row>
    <row r="42" spans="1:27" ht="16.149999999999999" customHeight="1" x14ac:dyDescent="0.2">
      <c r="A42" s="47" t="s">
        <v>379</v>
      </c>
      <c r="B42" s="157">
        <v>0</v>
      </c>
      <c r="C42" s="48">
        <f>20*B42</f>
        <v>0</v>
      </c>
      <c r="D42" s="47" t="s">
        <v>245</v>
      </c>
      <c r="G42" s="144"/>
      <c r="H42" s="144"/>
      <c r="I42" s="144"/>
      <c r="J42" s="144"/>
      <c r="K42" s="144"/>
      <c r="L42" s="144"/>
      <c r="M42" s="144"/>
      <c r="N42" s="144"/>
      <c r="O42" s="144"/>
      <c r="P42" s="144"/>
      <c r="Q42" s="144"/>
      <c r="R42" s="144"/>
      <c r="S42" s="144"/>
      <c r="T42" s="144"/>
      <c r="U42" s="144"/>
      <c r="V42" s="144"/>
      <c r="W42" s="144"/>
      <c r="X42" s="144"/>
      <c r="Y42" s="144"/>
      <c r="Z42" s="144"/>
      <c r="AA42" s="144"/>
    </row>
    <row r="43" spans="1:27" ht="16.149999999999999" customHeight="1" x14ac:dyDescent="0.2">
      <c r="A43" s="47" t="s">
        <v>380</v>
      </c>
      <c r="B43" s="157">
        <v>0</v>
      </c>
      <c r="C43" s="48">
        <f>61*B43</f>
        <v>0</v>
      </c>
      <c r="D43" s="47" t="s">
        <v>123</v>
      </c>
    </row>
    <row r="44" spans="1:27" ht="16.149999999999999" customHeight="1" x14ac:dyDescent="0.2">
      <c r="A44" s="47" t="s">
        <v>373</v>
      </c>
      <c r="B44" s="160">
        <v>0</v>
      </c>
      <c r="C44" s="102">
        <f>B44/1000</f>
        <v>0</v>
      </c>
      <c r="D44" s="47" t="s">
        <v>343</v>
      </c>
    </row>
    <row r="45" spans="1:27" ht="53.25" customHeight="1" x14ac:dyDescent="0.25">
      <c r="A45" s="528" t="s">
        <v>976</v>
      </c>
      <c r="B45" s="528"/>
      <c r="C45" s="528"/>
      <c r="D45" s="528"/>
      <c r="E45" s="130"/>
      <c r="F45" s="130"/>
      <c r="G45" s="130"/>
      <c r="H45" s="130"/>
      <c r="I45" s="130"/>
    </row>
    <row r="47" spans="1:27" x14ac:dyDescent="0.2">
      <c r="A47" s="14" t="s">
        <v>990</v>
      </c>
    </row>
    <row r="48" spans="1:27" x14ac:dyDescent="0.2">
      <c r="A48" s="147" t="s">
        <v>453</v>
      </c>
    </row>
  </sheetData>
  <sheetProtection algorithmName="SHA-512" hashValue="/WVz/9ycrZ0taUynlahGoQVEBY+TRudEDcfauccbvrbwlT7L56TWL7BW4HBf8zBmMHoElnhxEfpPuPhL1pvbig==" saltValue="DRyzS/gupakk6LR8VQQOcA==" spinCount="100000" sheet="1" objects="1" scenarios="1" selectLockedCells="1"/>
  <mergeCells count="14">
    <mergeCell ref="A14:D14"/>
    <mergeCell ref="A26:D26"/>
    <mergeCell ref="A30:D30"/>
    <mergeCell ref="A45:D45"/>
    <mergeCell ref="A21:D21"/>
    <mergeCell ref="A20:D20"/>
    <mergeCell ref="A17:D17"/>
    <mergeCell ref="A10:B10"/>
    <mergeCell ref="A1:B1"/>
    <mergeCell ref="C1:D1"/>
    <mergeCell ref="A4:B4"/>
    <mergeCell ref="C4:D4"/>
    <mergeCell ref="B5:C5"/>
    <mergeCell ref="A3:D3"/>
  </mergeCells>
  <phoneticPr fontId="7" type="noConversion"/>
  <conditionalFormatting sqref="C18">
    <cfRule type="cellIs" dxfId="102" priority="18" stopIfTrue="1" operator="lessThan">
      <formula>0.1</formula>
    </cfRule>
    <cfRule type="cellIs" dxfId="101" priority="21" stopIfTrue="1" operator="lessThan">
      <formula>0.5</formula>
    </cfRule>
  </conditionalFormatting>
  <conditionalFormatting sqref="B12:B13 B15">
    <cfRule type="expression" dxfId="100" priority="11" stopIfTrue="1">
      <formula>B12&lt;0</formula>
    </cfRule>
    <cfRule type="expression" dxfId="99" priority="17" stopIfTrue="1">
      <formula>B12&gt;0.3</formula>
    </cfRule>
  </conditionalFormatting>
  <conditionalFormatting sqref="C10">
    <cfRule type="expression" dxfId="98" priority="1" stopIfTrue="1">
      <formula>C10&lt;0</formula>
    </cfRule>
    <cfRule type="expression" dxfId="97" priority="16" stopIfTrue="1">
      <formula>C10&gt;44</formula>
    </cfRule>
  </conditionalFormatting>
  <conditionalFormatting sqref="C11:C13 B6:C8 C9 B11 C15">
    <cfRule type="expression" dxfId="96" priority="15" stopIfTrue="1">
      <formula>B6&lt;0</formula>
    </cfRule>
  </conditionalFormatting>
  <dataValidations count="2">
    <dataValidation type="list" allowBlank="1" showInputMessage="1" showErrorMessage="1" sqref="B2" xr:uid="{00000000-0002-0000-0100-000000000000}">
      <formula1>$I$2:$I$5</formula1>
    </dataValidation>
    <dataValidation type="list" allowBlank="1" showInputMessage="1" showErrorMessage="1" sqref="C15" xr:uid="{00000000-0002-0000-0100-000001000000}">
      <formula1>$K$1:$K$5</formula1>
    </dataValidation>
  </dataValidations>
  <printOptions horizontalCentered="1"/>
  <pageMargins left="0.75" right="0.75" top="0.73" bottom="0.79" header="0.5" footer="0.5"/>
  <pageSetup scale="56" orientation="landscape" r:id="rId1"/>
  <headerFooter alignWithMargins="0">
    <oddFooter xml:space="preserve">&amp;LBru'n Water
V.5.5&amp;R9/17/18
</oddFooter>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1">
    <tabColor rgb="FFFF9900"/>
    <pageSetUpPr fitToPage="1"/>
  </sheetPr>
  <dimension ref="A1:BU111"/>
  <sheetViews>
    <sheetView showGridLines="0" topLeftCell="A4" zoomScale="130" zoomScaleNormal="130" workbookViewId="0">
      <selection activeCell="B7" sqref="B7"/>
    </sheetView>
  </sheetViews>
  <sheetFormatPr defaultColWidth="9.28515625" defaultRowHeight="12.75" x14ac:dyDescent="0.2"/>
  <cols>
    <col min="1" max="1" width="27.42578125" style="1" customWidth="1"/>
    <col min="2" max="2" width="18.28515625" style="1" customWidth="1"/>
    <col min="3" max="3" width="13.5703125" style="1" customWidth="1"/>
    <col min="4" max="4" width="14.7109375" style="1" customWidth="1"/>
    <col min="5" max="5" width="10.7109375" style="97" customWidth="1"/>
    <col min="6" max="26" width="10.7109375" style="97" hidden="1" customWidth="1"/>
    <col min="27" max="27" width="10.7109375" style="97" customWidth="1"/>
    <col min="28" max="45" width="8.5703125" style="1" customWidth="1"/>
    <col min="46" max="16384" width="9.28515625" style="1"/>
  </cols>
  <sheetData>
    <row r="1" spans="1:73" ht="26.25" x14ac:dyDescent="0.2">
      <c r="A1" s="286" t="s">
        <v>63</v>
      </c>
      <c r="B1" s="539" t="str">
        <f>'1. Water Report Input'!$C$1</f>
        <v>Michael Weisz</v>
      </c>
      <c r="C1" s="540"/>
      <c r="D1" s="540"/>
      <c r="V1" s="145"/>
      <c r="W1" s="145"/>
      <c r="AB1" s="97"/>
      <c r="AC1" s="97"/>
      <c r="AD1" s="97"/>
      <c r="AE1" s="97"/>
      <c r="AF1" s="97"/>
      <c r="AG1" s="97"/>
      <c r="AH1" s="97"/>
      <c r="AI1" s="97"/>
      <c r="AJ1" s="97"/>
      <c r="AK1" s="97"/>
      <c r="AL1" s="97"/>
      <c r="AM1" s="97"/>
      <c r="AN1" s="97"/>
      <c r="AO1" s="97"/>
      <c r="AP1" s="97"/>
      <c r="AQ1" s="97"/>
      <c r="AR1" s="97"/>
      <c r="AS1" s="97"/>
      <c r="AT1" s="97"/>
      <c r="AU1" s="97"/>
      <c r="AV1" s="97"/>
      <c r="AW1" s="97"/>
      <c r="AX1" s="97"/>
      <c r="AY1" s="97"/>
      <c r="AZ1" s="97"/>
      <c r="BA1" s="97"/>
      <c r="BB1" s="97"/>
      <c r="BC1" s="97"/>
      <c r="BD1" s="97"/>
      <c r="BE1" s="97"/>
      <c r="BF1" s="97"/>
      <c r="BG1" s="97"/>
      <c r="BH1" s="97"/>
      <c r="BI1" s="97"/>
      <c r="BJ1" s="97"/>
      <c r="BK1" s="97"/>
      <c r="BL1" s="97"/>
      <c r="BM1" s="97"/>
      <c r="BN1" s="97"/>
      <c r="BO1" s="97"/>
      <c r="BP1" s="97"/>
      <c r="BQ1" s="97"/>
      <c r="BR1" s="97"/>
      <c r="BS1" s="97"/>
      <c r="BT1" s="97"/>
      <c r="BU1" s="97"/>
    </row>
    <row r="2" spans="1:73" ht="29.1" customHeight="1" x14ac:dyDescent="0.2">
      <c r="A2" s="538" t="s">
        <v>960</v>
      </c>
      <c r="B2" s="538"/>
      <c r="C2" s="538"/>
      <c r="D2" s="538"/>
      <c r="V2" s="145"/>
      <c r="W2" s="145"/>
      <c r="AB2" s="97"/>
      <c r="AC2" s="97"/>
      <c r="AD2" s="97"/>
      <c r="AE2" s="97"/>
      <c r="AF2" s="97"/>
      <c r="AG2" s="97"/>
      <c r="AH2" s="97"/>
      <c r="AI2" s="97"/>
      <c r="AJ2" s="97"/>
      <c r="AK2" s="97"/>
      <c r="AL2" s="97"/>
      <c r="AM2" s="97"/>
      <c r="AN2" s="97"/>
      <c r="AO2" s="97"/>
      <c r="AP2" s="97"/>
      <c r="AQ2" s="97"/>
      <c r="AR2" s="97"/>
      <c r="AS2" s="97"/>
      <c r="AT2" s="97"/>
      <c r="AU2" s="97"/>
      <c r="AV2" s="97"/>
      <c r="AW2" s="97"/>
      <c r="AX2" s="97"/>
      <c r="AY2" s="97"/>
      <c r="AZ2" s="97"/>
      <c r="BA2" s="97"/>
      <c r="BB2" s="97"/>
      <c r="BC2" s="97"/>
      <c r="BD2" s="97"/>
      <c r="BE2" s="97"/>
      <c r="BF2" s="97"/>
      <c r="BG2" s="97"/>
      <c r="BH2" s="97"/>
      <c r="BI2" s="97"/>
      <c r="BJ2" s="97"/>
      <c r="BK2" s="97"/>
      <c r="BL2" s="97"/>
      <c r="BM2" s="97"/>
      <c r="BN2" s="97"/>
      <c r="BO2" s="97"/>
      <c r="BP2" s="97"/>
      <c r="BQ2" s="97"/>
      <c r="BR2" s="97"/>
      <c r="BS2" s="97"/>
      <c r="BT2" s="97"/>
      <c r="BU2" s="97"/>
    </row>
    <row r="3" spans="1:73" ht="24" customHeight="1" x14ac:dyDescent="0.2">
      <c r="A3" s="548" t="s">
        <v>567</v>
      </c>
      <c r="B3" s="548"/>
      <c r="C3" s="548"/>
      <c r="D3" s="548"/>
      <c r="V3" s="145"/>
      <c r="W3" s="145"/>
      <c r="AB3" s="97"/>
      <c r="AC3" s="97"/>
      <c r="AD3" s="97"/>
      <c r="AE3" s="97"/>
      <c r="AF3" s="97"/>
      <c r="AG3" s="97"/>
      <c r="AH3" s="97"/>
      <c r="AI3" s="97"/>
      <c r="AJ3" s="97"/>
      <c r="AK3" s="97"/>
      <c r="AL3" s="97"/>
      <c r="AM3" s="97"/>
      <c r="AN3" s="97"/>
      <c r="AO3" s="97"/>
      <c r="AP3" s="97"/>
      <c r="AQ3" s="97"/>
      <c r="AR3" s="97"/>
      <c r="AS3" s="97"/>
      <c r="AT3" s="97"/>
      <c r="AU3" s="97"/>
      <c r="AV3" s="97"/>
      <c r="AW3" s="97"/>
      <c r="AX3" s="97"/>
      <c r="AY3" s="97"/>
      <c r="AZ3" s="97"/>
      <c r="BA3" s="97"/>
      <c r="BB3" s="97"/>
      <c r="BC3" s="97"/>
      <c r="BD3" s="97"/>
      <c r="BE3" s="97"/>
      <c r="BF3" s="97"/>
      <c r="BG3" s="97"/>
      <c r="BH3" s="97"/>
      <c r="BI3" s="97"/>
      <c r="BJ3" s="97"/>
      <c r="BK3" s="97"/>
      <c r="BL3" s="97"/>
      <c r="BM3" s="97"/>
      <c r="BN3" s="97"/>
      <c r="BO3" s="97"/>
      <c r="BP3" s="97"/>
      <c r="BQ3" s="97"/>
      <c r="BR3" s="97"/>
      <c r="BS3" s="97"/>
      <c r="BT3" s="97"/>
      <c r="BU3" s="97"/>
    </row>
    <row r="4" spans="1:73" ht="17.100000000000001" customHeight="1" x14ac:dyDescent="0.2">
      <c r="A4" s="545" t="s">
        <v>215</v>
      </c>
      <c r="B4" s="546"/>
      <c r="C4" s="546"/>
      <c r="D4" s="547"/>
      <c r="E4" s="162"/>
      <c r="V4" s="145"/>
      <c r="W4" s="145"/>
      <c r="AB4" s="97"/>
      <c r="AC4" s="97"/>
      <c r="AD4" s="97"/>
      <c r="AE4" s="97"/>
      <c r="AF4" s="97"/>
      <c r="AG4" s="97"/>
      <c r="AH4" s="97"/>
      <c r="AI4" s="97"/>
      <c r="AJ4" s="97"/>
      <c r="AK4" s="97"/>
      <c r="AL4" s="97"/>
      <c r="AM4" s="97"/>
      <c r="AN4" s="97"/>
      <c r="AO4" s="97"/>
      <c r="AP4" s="97"/>
      <c r="AQ4" s="97"/>
      <c r="AR4" s="97"/>
      <c r="AS4" s="97"/>
      <c r="AT4" s="97"/>
      <c r="AU4" s="97"/>
      <c r="AV4" s="97"/>
      <c r="AW4" s="97"/>
      <c r="AX4" s="97"/>
      <c r="AY4" s="97"/>
      <c r="AZ4" s="97"/>
      <c r="BA4" s="97"/>
      <c r="BB4" s="97"/>
      <c r="BC4" s="97"/>
      <c r="BD4" s="97"/>
      <c r="BE4" s="97"/>
      <c r="BF4" s="97"/>
      <c r="BG4" s="97"/>
      <c r="BH4" s="97"/>
      <c r="BI4" s="97"/>
      <c r="BJ4" s="97"/>
      <c r="BK4" s="97"/>
      <c r="BL4" s="97"/>
      <c r="BM4" s="97"/>
      <c r="BN4" s="97"/>
      <c r="BO4" s="97"/>
      <c r="BP4" s="97"/>
      <c r="BQ4" s="97"/>
      <c r="BR4" s="97"/>
      <c r="BS4" s="97"/>
      <c r="BT4" s="97"/>
      <c r="BU4" s="97"/>
    </row>
    <row r="5" spans="1:73" ht="17.100000000000001" customHeight="1" x14ac:dyDescent="0.2">
      <c r="A5" s="21" t="s">
        <v>355</v>
      </c>
      <c r="B5" s="208">
        <f>'1. Water Report Input'!$C$22</f>
        <v>0</v>
      </c>
      <c r="C5" s="549" t="s">
        <v>209</v>
      </c>
      <c r="D5" s="550"/>
      <c r="E5" s="162"/>
      <c r="V5" s="145"/>
      <c r="W5" s="145"/>
      <c r="AB5" s="97"/>
      <c r="AC5" s="97"/>
      <c r="AD5" s="97"/>
      <c r="AE5" s="97"/>
      <c r="AF5" s="97"/>
      <c r="AG5" s="97"/>
      <c r="AH5" s="97"/>
      <c r="AI5" s="97"/>
      <c r="AJ5" s="97"/>
      <c r="AK5" s="97"/>
      <c r="AL5" s="97"/>
      <c r="AM5" s="97"/>
      <c r="AN5" s="97"/>
      <c r="AO5" s="97"/>
      <c r="AP5" s="97"/>
      <c r="AQ5" s="97"/>
      <c r="AR5" s="97"/>
      <c r="AS5" s="97"/>
      <c r="AT5" s="97"/>
      <c r="AU5" s="97"/>
      <c r="AV5" s="97"/>
      <c r="AW5" s="97"/>
      <c r="AX5" s="97"/>
      <c r="AY5" s="97"/>
      <c r="AZ5" s="97"/>
      <c r="BA5" s="97"/>
      <c r="BB5" s="97"/>
      <c r="BC5" s="97"/>
      <c r="BD5" s="97"/>
      <c r="BE5" s="97"/>
      <c r="BF5" s="97"/>
      <c r="BG5" s="97"/>
      <c r="BH5" s="97"/>
      <c r="BI5" s="97"/>
      <c r="BJ5" s="97"/>
      <c r="BK5" s="97"/>
      <c r="BL5" s="97"/>
      <c r="BM5" s="97"/>
      <c r="BN5" s="97"/>
      <c r="BO5" s="97"/>
      <c r="BP5" s="97"/>
      <c r="BQ5" s="97"/>
      <c r="BR5" s="97"/>
      <c r="BS5" s="97"/>
      <c r="BT5" s="97"/>
      <c r="BU5" s="97"/>
    </row>
    <row r="6" spans="1:73" ht="17.100000000000001" customHeight="1" x14ac:dyDescent="0.2">
      <c r="A6" s="23" t="s">
        <v>153</v>
      </c>
      <c r="B6" s="209">
        <v>6.5</v>
      </c>
      <c r="C6" s="534" t="s">
        <v>111</v>
      </c>
      <c r="D6" s="535"/>
      <c r="E6" s="162"/>
      <c r="V6" s="145"/>
      <c r="W6" s="145"/>
      <c r="AB6" s="97"/>
      <c r="AC6" s="97"/>
      <c r="AD6" s="97"/>
      <c r="AE6" s="97"/>
      <c r="AF6" s="97"/>
      <c r="AG6" s="97"/>
      <c r="AH6" s="97"/>
      <c r="AI6" s="97"/>
      <c r="AJ6" s="97"/>
      <c r="AK6" s="97"/>
      <c r="AL6" s="97"/>
      <c r="AM6" s="97"/>
      <c r="AN6" s="97"/>
      <c r="AO6" s="97"/>
      <c r="AP6" s="97"/>
      <c r="AQ6" s="97"/>
      <c r="AR6" s="97"/>
      <c r="AS6" s="97"/>
      <c r="AT6" s="97"/>
      <c r="AU6" s="97"/>
      <c r="AV6" s="97"/>
      <c r="AW6" s="97"/>
      <c r="AX6" s="97"/>
      <c r="AY6" s="97"/>
      <c r="AZ6" s="97"/>
      <c r="BA6" s="97"/>
      <c r="BB6" s="97"/>
      <c r="BC6" s="97"/>
      <c r="BD6" s="97"/>
      <c r="BE6" s="97"/>
      <c r="BF6" s="97"/>
      <c r="BG6" s="97"/>
      <c r="BH6" s="97"/>
      <c r="BI6" s="97"/>
      <c r="BJ6" s="97"/>
      <c r="BK6" s="97"/>
      <c r="BL6" s="97"/>
      <c r="BM6" s="97"/>
      <c r="BN6" s="97"/>
      <c r="BO6" s="97"/>
      <c r="BP6" s="97"/>
      <c r="BQ6" s="97"/>
      <c r="BR6" s="97"/>
      <c r="BS6" s="97"/>
      <c r="BT6" s="97"/>
      <c r="BU6" s="97"/>
    </row>
    <row r="7" spans="1:73" ht="17.100000000000001" customHeight="1" x14ac:dyDescent="0.2">
      <c r="A7" s="21" t="s">
        <v>604</v>
      </c>
      <c r="B7" s="407" t="s">
        <v>155</v>
      </c>
      <c r="C7" s="536" t="s">
        <v>812</v>
      </c>
      <c r="D7" s="537"/>
      <c r="E7" s="162"/>
      <c r="V7" s="145"/>
      <c r="W7" s="145"/>
      <c r="AB7" s="97"/>
      <c r="AC7" s="97"/>
      <c r="AD7" s="97"/>
      <c r="AE7" s="97"/>
      <c r="AF7" s="97"/>
      <c r="AG7" s="97"/>
      <c r="AH7" s="97"/>
      <c r="AI7" s="97"/>
      <c r="AJ7" s="97"/>
      <c r="AK7" s="97"/>
      <c r="AL7" s="97"/>
      <c r="AM7" s="97"/>
      <c r="AN7" s="97"/>
      <c r="AO7" s="97"/>
      <c r="AP7" s="97"/>
      <c r="AQ7" s="97"/>
      <c r="AR7" s="97"/>
      <c r="AS7" s="97"/>
      <c r="AT7" s="97"/>
      <c r="AU7" s="97"/>
      <c r="AV7" s="97"/>
      <c r="AW7" s="97"/>
      <c r="AX7" s="97"/>
      <c r="AY7" s="97"/>
      <c r="AZ7" s="97"/>
      <c r="BA7" s="97"/>
      <c r="BB7" s="97"/>
      <c r="BC7" s="97"/>
      <c r="BD7" s="97"/>
      <c r="BE7" s="97"/>
      <c r="BF7" s="97"/>
      <c r="BG7" s="97"/>
      <c r="BH7" s="97"/>
      <c r="BI7" s="97"/>
      <c r="BJ7" s="97"/>
      <c r="BK7" s="97"/>
      <c r="BL7" s="97"/>
      <c r="BM7" s="97"/>
      <c r="BN7" s="97"/>
      <c r="BO7" s="97"/>
      <c r="BP7" s="97"/>
      <c r="BQ7" s="97"/>
      <c r="BR7" s="97"/>
      <c r="BS7" s="97"/>
      <c r="BT7" s="97"/>
      <c r="BU7" s="97"/>
    </row>
    <row r="8" spans="1:73" ht="17.100000000000001" customHeight="1" x14ac:dyDescent="0.2">
      <c r="A8" s="21" t="s">
        <v>674</v>
      </c>
      <c r="B8" s="202">
        <v>100</v>
      </c>
      <c r="C8" s="534" t="s">
        <v>568</v>
      </c>
      <c r="D8" s="535"/>
      <c r="E8" s="162"/>
      <c r="V8" s="145"/>
      <c r="W8" s="145"/>
      <c r="AB8" s="97"/>
      <c r="AC8" s="97"/>
      <c r="AD8" s="97"/>
      <c r="AE8" s="97"/>
      <c r="AF8" s="97"/>
      <c r="AG8" s="97"/>
      <c r="AH8" s="97"/>
      <c r="AI8" s="97"/>
      <c r="AJ8" s="97"/>
      <c r="AK8" s="97"/>
      <c r="AL8" s="97"/>
      <c r="AM8" s="97"/>
      <c r="AN8" s="97"/>
      <c r="AO8" s="97"/>
      <c r="AP8" s="97"/>
      <c r="AQ8" s="97"/>
      <c r="AR8" s="97"/>
      <c r="AS8" s="97"/>
      <c r="AT8" s="97"/>
      <c r="AU8" s="97"/>
      <c r="AV8" s="97"/>
      <c r="AW8" s="97"/>
      <c r="AX8" s="97"/>
      <c r="AY8" s="97"/>
      <c r="AZ8" s="97"/>
      <c r="BA8" s="97"/>
      <c r="BB8" s="97"/>
      <c r="BC8" s="97"/>
      <c r="BD8" s="97"/>
      <c r="BE8" s="97"/>
      <c r="BF8" s="97"/>
      <c r="BG8" s="97"/>
      <c r="BH8" s="97"/>
      <c r="BI8" s="97"/>
      <c r="BJ8" s="97"/>
      <c r="BK8" s="97"/>
      <c r="BL8" s="97"/>
      <c r="BM8" s="97"/>
      <c r="BN8" s="97"/>
      <c r="BO8" s="97"/>
      <c r="BP8" s="97"/>
      <c r="BQ8" s="97"/>
      <c r="BR8" s="97"/>
      <c r="BS8" s="97"/>
      <c r="BT8" s="97"/>
      <c r="BU8" s="97"/>
    </row>
    <row r="9" spans="1:73" ht="17.100000000000001" customHeight="1" x14ac:dyDescent="0.2">
      <c r="A9" s="21" t="s">
        <v>582</v>
      </c>
      <c r="B9" s="208">
        <f>IF(B7="distilled water",('4. Water Adjustment'!L123*(B8/100))+(B5*(1-(B8/100))),IF(B7="ro water",('4. Water Adjustment'!L124*(B8/100))+(B5*(1-(B8/100))),B5))</f>
        <v>13.117377049180329</v>
      </c>
      <c r="C9" s="534" t="s">
        <v>209</v>
      </c>
      <c r="D9" s="535"/>
      <c r="E9" s="162"/>
      <c r="V9" s="145"/>
      <c r="W9" s="145"/>
      <c r="AB9" s="97"/>
      <c r="AC9" s="97"/>
      <c r="AD9" s="97"/>
      <c r="AE9" s="97"/>
      <c r="AF9" s="97"/>
      <c r="AG9" s="97"/>
      <c r="AH9" s="97"/>
      <c r="AI9" s="97"/>
      <c r="AJ9" s="97"/>
      <c r="AK9" s="97"/>
      <c r="AL9" s="97"/>
      <c r="AM9" s="97"/>
      <c r="AN9" s="97"/>
      <c r="AO9" s="97"/>
      <c r="AP9" s="97"/>
      <c r="AQ9" s="97"/>
      <c r="AR9" s="97"/>
      <c r="AS9" s="97"/>
      <c r="AT9" s="97"/>
      <c r="AU9" s="97"/>
      <c r="AV9" s="97"/>
      <c r="AW9" s="97"/>
      <c r="AX9" s="97"/>
      <c r="AY9" s="97"/>
      <c r="AZ9" s="97"/>
      <c r="BA9" s="97"/>
      <c r="BB9" s="97"/>
      <c r="BC9" s="97"/>
      <c r="BD9" s="97"/>
      <c r="BE9" s="97"/>
      <c r="BF9" s="97"/>
      <c r="BG9" s="97"/>
      <c r="BH9" s="97"/>
      <c r="BI9" s="97"/>
      <c r="BJ9" s="97"/>
      <c r="BK9" s="97"/>
      <c r="BL9" s="97"/>
      <c r="BM9" s="97"/>
      <c r="BN9" s="97"/>
      <c r="BO9" s="97"/>
      <c r="BP9" s="97"/>
      <c r="BQ9" s="97"/>
      <c r="BR9" s="97"/>
      <c r="BS9" s="97"/>
      <c r="BT9" s="97"/>
      <c r="BU9" s="97"/>
    </row>
    <row r="10" spans="1:73" ht="17.100000000000001" customHeight="1" x14ac:dyDescent="0.2">
      <c r="A10" s="21" t="s">
        <v>583</v>
      </c>
      <c r="B10" s="210">
        <f>IF(B7="none",B6,(6.5*(B8/100))+(B6*(1-(B8/100))))</f>
        <v>6.5</v>
      </c>
      <c r="C10" s="534" t="s">
        <v>111</v>
      </c>
      <c r="D10" s="535"/>
      <c r="E10" s="162"/>
      <c r="V10" s="145"/>
      <c r="W10" s="145"/>
      <c r="AB10" s="97"/>
      <c r="AC10" s="97"/>
      <c r="AD10" s="97"/>
      <c r="AE10" s="97"/>
      <c r="AF10" s="97"/>
      <c r="AG10" s="97"/>
      <c r="AH10" s="97"/>
      <c r="AI10" s="97"/>
      <c r="AJ10" s="97"/>
      <c r="AK10" s="97"/>
      <c r="AL10" s="97"/>
      <c r="AM10" s="97"/>
      <c r="AN10" s="97"/>
      <c r="AO10" s="97"/>
      <c r="AP10" s="97"/>
      <c r="AQ10" s="97"/>
      <c r="AR10" s="97"/>
      <c r="AS10" s="97"/>
      <c r="AT10" s="97"/>
      <c r="AU10" s="97"/>
      <c r="AV10" s="97"/>
      <c r="AW10" s="97"/>
      <c r="AX10" s="97"/>
      <c r="AY10" s="97"/>
      <c r="AZ10" s="97"/>
      <c r="BA10" s="97"/>
      <c r="BB10" s="97"/>
      <c r="BC10" s="97"/>
      <c r="BD10" s="97"/>
      <c r="BE10" s="97"/>
      <c r="BF10" s="97"/>
      <c r="BG10" s="97"/>
      <c r="BH10" s="97"/>
      <c r="BI10" s="97"/>
      <c r="BJ10" s="97"/>
      <c r="BK10" s="97"/>
      <c r="BL10" s="97"/>
      <c r="BM10" s="97"/>
      <c r="BN10" s="97"/>
      <c r="BO10" s="97"/>
      <c r="BP10" s="97"/>
      <c r="BQ10" s="97"/>
      <c r="BR10" s="97"/>
      <c r="BS10" s="97"/>
      <c r="BT10" s="97"/>
      <c r="BU10" s="97"/>
    </row>
    <row r="11" spans="1:73" ht="17.100000000000001" customHeight="1" x14ac:dyDescent="0.2">
      <c r="A11" s="23" t="s">
        <v>605</v>
      </c>
      <c r="B11" s="209">
        <v>6</v>
      </c>
      <c r="C11" s="534" t="s">
        <v>111</v>
      </c>
      <c r="D11" s="535"/>
      <c r="E11" s="162"/>
      <c r="V11" s="145"/>
      <c r="W11" s="145"/>
      <c r="AB11" s="97"/>
      <c r="AC11" s="97"/>
      <c r="AD11" s="97"/>
      <c r="AE11" s="97"/>
      <c r="AF11" s="97"/>
      <c r="AG11" s="97"/>
      <c r="AH11" s="97"/>
      <c r="AI11" s="97"/>
      <c r="AJ11" s="97"/>
      <c r="AK11" s="97"/>
      <c r="AL11" s="97"/>
      <c r="AM11" s="97"/>
      <c r="AN11" s="97"/>
      <c r="AO11" s="97"/>
      <c r="AP11" s="97"/>
      <c r="AQ11" s="97"/>
      <c r="AR11" s="97"/>
      <c r="AS11" s="97"/>
      <c r="AT11" s="97"/>
      <c r="AU11" s="97"/>
      <c r="AV11" s="97"/>
      <c r="AW11" s="97"/>
      <c r="AX11" s="97"/>
      <c r="AY11" s="97"/>
      <c r="AZ11" s="97"/>
      <c r="BA11" s="97"/>
      <c r="BB11" s="97"/>
      <c r="BC11" s="97"/>
      <c r="BD11" s="97"/>
      <c r="BE11" s="97"/>
      <c r="BF11" s="97"/>
      <c r="BG11" s="97"/>
      <c r="BH11" s="97"/>
      <c r="BI11" s="97"/>
      <c r="BJ11" s="97"/>
      <c r="BK11" s="97"/>
      <c r="BL11" s="97"/>
      <c r="BM11" s="97"/>
      <c r="BN11" s="97"/>
      <c r="BO11" s="97"/>
      <c r="BP11" s="97"/>
      <c r="BQ11" s="97"/>
      <c r="BR11" s="97"/>
      <c r="BS11" s="97"/>
      <c r="BT11" s="97"/>
      <c r="BU11" s="97"/>
    </row>
    <row r="12" spans="1:73" ht="17.100000000000001" customHeight="1" x14ac:dyDescent="0.2">
      <c r="A12" s="23" t="s">
        <v>606</v>
      </c>
      <c r="B12" s="326">
        <v>1</v>
      </c>
      <c r="C12" s="24" t="str">
        <f>I63</f>
        <v>Gallons</v>
      </c>
      <c r="D12" s="185" t="s">
        <v>569</v>
      </c>
      <c r="E12" s="184"/>
      <c r="V12" s="145"/>
      <c r="W12" s="145"/>
      <c r="AB12" s="97"/>
      <c r="AC12" s="97"/>
      <c r="AD12" s="97"/>
      <c r="AE12" s="97"/>
      <c r="AF12" s="97"/>
      <c r="AG12" s="97"/>
      <c r="AH12" s="97"/>
      <c r="AI12" s="97"/>
      <c r="AJ12" s="97"/>
      <c r="AK12" s="97"/>
      <c r="AL12" s="97"/>
      <c r="AM12" s="97"/>
      <c r="AN12" s="97"/>
      <c r="AO12" s="97"/>
      <c r="AP12" s="97"/>
      <c r="AQ12" s="97"/>
      <c r="AR12" s="97"/>
      <c r="AS12" s="97"/>
      <c r="AT12" s="97"/>
      <c r="AU12" s="97"/>
      <c r="AV12" s="97"/>
      <c r="AW12" s="97"/>
      <c r="AX12" s="97"/>
      <c r="AY12" s="97"/>
      <c r="AZ12" s="97"/>
      <c r="BA12" s="97"/>
      <c r="BB12" s="97"/>
      <c r="BC12" s="97"/>
      <c r="BD12" s="97"/>
      <c r="BE12" s="97"/>
      <c r="BF12" s="97"/>
      <c r="BG12" s="97"/>
      <c r="BH12" s="97"/>
      <c r="BI12" s="97"/>
      <c r="BJ12" s="97"/>
      <c r="BK12" s="97"/>
      <c r="BL12" s="97"/>
      <c r="BM12" s="97"/>
      <c r="BN12" s="97"/>
      <c r="BO12" s="97"/>
      <c r="BP12" s="97"/>
      <c r="BQ12" s="97"/>
      <c r="BR12" s="97"/>
      <c r="BS12" s="97"/>
      <c r="BT12" s="97"/>
      <c r="BU12" s="97"/>
    </row>
    <row r="13" spans="1:73" ht="17.100000000000001" customHeight="1" x14ac:dyDescent="0.2">
      <c r="A13" s="23" t="s">
        <v>520</v>
      </c>
      <c r="B13" s="408" t="s">
        <v>95</v>
      </c>
      <c r="C13" s="207" t="s">
        <v>570</v>
      </c>
      <c r="D13" s="150"/>
      <c r="E13" s="162"/>
      <c r="AB13" s="97"/>
      <c r="AC13" s="97"/>
      <c r="AD13" s="97"/>
      <c r="AE13" s="97"/>
      <c r="AF13" s="97"/>
      <c r="AG13" s="97"/>
      <c r="AH13" s="97"/>
      <c r="AI13" s="97"/>
      <c r="AJ13" s="97"/>
      <c r="AK13" s="97"/>
      <c r="AL13" s="97"/>
      <c r="AM13" s="97"/>
      <c r="AN13" s="97"/>
      <c r="AO13" s="97"/>
      <c r="AP13" s="97"/>
      <c r="AQ13" s="97"/>
      <c r="AR13" s="97"/>
      <c r="AS13" s="97"/>
      <c r="AT13" s="97"/>
      <c r="AU13" s="97"/>
      <c r="AV13" s="97"/>
      <c r="AW13" s="97"/>
      <c r="AX13" s="97"/>
      <c r="AY13" s="97"/>
      <c r="AZ13" s="97"/>
      <c r="BA13" s="97"/>
      <c r="BB13" s="97"/>
      <c r="BC13" s="97"/>
      <c r="BD13" s="97"/>
      <c r="BE13" s="97"/>
      <c r="BF13" s="97"/>
      <c r="BG13" s="97"/>
      <c r="BH13" s="97"/>
      <c r="BI13" s="97"/>
      <c r="BJ13" s="97"/>
      <c r="BK13" s="97"/>
      <c r="BL13" s="97"/>
      <c r="BM13" s="97"/>
      <c r="BN13" s="97"/>
      <c r="BO13" s="97"/>
      <c r="BP13" s="97"/>
      <c r="BQ13" s="97"/>
      <c r="BR13" s="97"/>
      <c r="BS13" s="97"/>
      <c r="BT13" s="97"/>
      <c r="BU13" s="97"/>
    </row>
    <row r="14" spans="1:73" ht="17.100000000000001" customHeight="1" x14ac:dyDescent="0.2">
      <c r="A14" s="23" t="s">
        <v>521</v>
      </c>
      <c r="B14" s="211">
        <v>10</v>
      </c>
      <c r="C14" s="408" t="s">
        <v>200</v>
      </c>
      <c r="D14" s="277" t="s">
        <v>812</v>
      </c>
      <c r="E14" s="162"/>
      <c r="F14" s="338">
        <f>IF(N(B14)=0,1,N(B14))</f>
        <v>10</v>
      </c>
      <c r="AB14" s="97"/>
      <c r="AC14" s="97"/>
      <c r="AD14" s="97"/>
      <c r="AE14" s="97"/>
      <c r="AF14" s="97"/>
      <c r="AG14" s="97"/>
      <c r="AH14" s="97"/>
      <c r="AI14" s="97"/>
      <c r="AJ14" s="97"/>
      <c r="AK14" s="97"/>
      <c r="AL14" s="97"/>
      <c r="AM14" s="97"/>
      <c r="AN14" s="97"/>
      <c r="AO14" s="97"/>
      <c r="AP14" s="97"/>
      <c r="AQ14" s="97"/>
      <c r="AR14" s="97"/>
      <c r="AS14" s="97"/>
      <c r="AT14" s="97"/>
      <c r="AU14" s="97"/>
      <c r="AV14" s="97"/>
      <c r="AW14" s="97"/>
      <c r="AX14" s="97"/>
      <c r="AY14" s="97"/>
      <c r="AZ14" s="97"/>
      <c r="BA14" s="97"/>
      <c r="BB14" s="97"/>
      <c r="BC14" s="97"/>
      <c r="BD14" s="97"/>
      <c r="BE14" s="97"/>
      <c r="BF14" s="97"/>
      <c r="BG14" s="97"/>
      <c r="BH14" s="97"/>
      <c r="BI14" s="97"/>
      <c r="BJ14" s="97"/>
      <c r="BK14" s="97"/>
      <c r="BL14" s="97"/>
      <c r="BM14" s="97"/>
      <c r="BN14" s="97"/>
      <c r="BO14" s="97"/>
      <c r="BP14" s="97"/>
      <c r="BQ14" s="97"/>
      <c r="BR14" s="97"/>
      <c r="BS14" s="97"/>
      <c r="BT14" s="97"/>
      <c r="BU14" s="97"/>
    </row>
    <row r="15" spans="1:73" ht="17.100000000000001" customHeight="1" x14ac:dyDescent="0.2">
      <c r="A15" s="163" t="s">
        <v>584</v>
      </c>
      <c r="B15" s="213">
        <v>0</v>
      </c>
      <c r="C15" s="24" t="s">
        <v>568</v>
      </c>
      <c r="E15" s="162"/>
      <c r="F15" s="338"/>
      <c r="AB15" s="97"/>
      <c r="AC15" s="97"/>
      <c r="AD15" s="97"/>
      <c r="AE15" s="97"/>
      <c r="AF15" s="97"/>
      <c r="AG15" s="97"/>
      <c r="AH15" s="97"/>
      <c r="AI15" s="97"/>
      <c r="AJ15" s="97"/>
      <c r="AK15" s="97"/>
      <c r="AL15" s="97"/>
      <c r="AM15" s="97"/>
      <c r="AN15" s="97"/>
      <c r="AO15" s="97"/>
      <c r="AP15" s="97"/>
      <c r="AQ15" s="97"/>
      <c r="AR15" s="97"/>
      <c r="AS15" s="97"/>
      <c r="AT15" s="97"/>
      <c r="AU15" s="97"/>
      <c r="AV15" s="97"/>
      <c r="AW15" s="97"/>
      <c r="AX15" s="97"/>
      <c r="AY15" s="97"/>
      <c r="AZ15" s="97"/>
      <c r="BA15" s="97"/>
      <c r="BB15" s="97"/>
      <c r="BC15" s="97"/>
      <c r="BD15" s="97"/>
      <c r="BE15" s="97"/>
      <c r="BF15" s="97"/>
      <c r="BG15" s="97"/>
      <c r="BH15" s="97"/>
      <c r="BI15" s="97"/>
      <c r="BJ15" s="97"/>
      <c r="BK15" s="97"/>
      <c r="BL15" s="97"/>
      <c r="BM15" s="97"/>
      <c r="BN15" s="97"/>
      <c r="BO15" s="97"/>
      <c r="BP15" s="97"/>
      <c r="BQ15" s="97"/>
      <c r="BR15" s="97"/>
      <c r="BS15" s="97"/>
      <c r="BT15" s="97"/>
      <c r="BU15" s="97"/>
    </row>
    <row r="16" spans="1:73" ht="17.100000000000001" customHeight="1" x14ac:dyDescent="0.2">
      <c r="A16" s="23" t="s">
        <v>522</v>
      </c>
      <c r="B16" s="291" t="s">
        <v>95</v>
      </c>
      <c r="C16" s="150" t="s">
        <v>570</v>
      </c>
      <c r="D16" s="24"/>
      <c r="E16" s="162"/>
      <c r="F16" s="338"/>
      <c r="AB16" s="97"/>
      <c r="AC16" s="97"/>
      <c r="AD16" s="97"/>
      <c r="AE16" s="97"/>
      <c r="AF16" s="97"/>
      <c r="AG16" s="97"/>
      <c r="AH16" s="97"/>
      <c r="AI16" s="97"/>
      <c r="AJ16" s="97"/>
      <c r="AK16" s="97"/>
      <c r="AL16" s="97"/>
      <c r="AM16" s="97"/>
      <c r="AN16" s="97"/>
      <c r="AO16" s="97"/>
      <c r="AP16" s="97"/>
      <c r="AQ16" s="97"/>
      <c r="AR16" s="97"/>
      <c r="AS16" s="97"/>
      <c r="AT16" s="97"/>
      <c r="AU16" s="97"/>
      <c r="AV16" s="97"/>
      <c r="AW16" s="97"/>
      <c r="AX16" s="97"/>
      <c r="AY16" s="97"/>
      <c r="AZ16" s="97"/>
      <c r="BA16" s="97"/>
      <c r="BB16" s="97"/>
      <c r="BC16" s="97"/>
      <c r="BD16" s="97"/>
      <c r="BE16" s="97"/>
      <c r="BF16" s="97"/>
      <c r="BG16" s="97"/>
      <c r="BH16" s="97"/>
      <c r="BI16" s="97"/>
      <c r="BJ16" s="97"/>
      <c r="BK16" s="97"/>
      <c r="BL16" s="97"/>
      <c r="BM16" s="97"/>
      <c r="BN16" s="97"/>
      <c r="BO16" s="97"/>
      <c r="BP16" s="97"/>
      <c r="BQ16" s="97"/>
      <c r="BR16" s="97"/>
      <c r="BS16" s="97"/>
      <c r="BT16" s="97"/>
      <c r="BU16" s="97"/>
    </row>
    <row r="17" spans="1:73" ht="17.100000000000001" customHeight="1" x14ac:dyDescent="0.2">
      <c r="A17" s="23" t="s">
        <v>523</v>
      </c>
      <c r="B17" s="211">
        <v>10</v>
      </c>
      <c r="C17" s="290" t="s">
        <v>200</v>
      </c>
      <c r="D17" s="277" t="s">
        <v>812</v>
      </c>
      <c r="E17" s="162"/>
      <c r="F17" s="338">
        <f>IF(N(B17)=0,1,N(B17))</f>
        <v>10</v>
      </c>
      <c r="AB17" s="97"/>
      <c r="AC17" s="97"/>
      <c r="AD17" s="97"/>
      <c r="AE17" s="97"/>
      <c r="AF17" s="97"/>
      <c r="AG17" s="97"/>
      <c r="AH17" s="97"/>
      <c r="AI17" s="97"/>
      <c r="AJ17" s="97"/>
      <c r="AK17" s="97"/>
      <c r="AL17" s="97"/>
      <c r="AM17" s="97"/>
      <c r="AN17" s="97"/>
      <c r="AO17" s="97"/>
      <c r="AP17" s="97"/>
      <c r="AQ17" s="97"/>
      <c r="AR17" s="97"/>
      <c r="AS17" s="97"/>
      <c r="AT17" s="97"/>
      <c r="AU17" s="97"/>
      <c r="AV17" s="97"/>
      <c r="AW17" s="97"/>
      <c r="AX17" s="97"/>
      <c r="AY17" s="97"/>
      <c r="AZ17" s="97"/>
      <c r="BA17" s="97"/>
      <c r="BB17" s="97"/>
      <c r="BC17" s="97"/>
      <c r="BD17" s="97"/>
      <c r="BE17" s="97"/>
      <c r="BF17" s="97"/>
      <c r="BG17" s="97"/>
      <c r="BH17" s="97"/>
      <c r="BI17" s="97"/>
      <c r="BJ17" s="97"/>
      <c r="BK17" s="97"/>
      <c r="BL17" s="97"/>
      <c r="BM17" s="97"/>
      <c r="BN17" s="97"/>
      <c r="BO17" s="97"/>
      <c r="BP17" s="97"/>
      <c r="BQ17" s="97"/>
      <c r="BR17" s="97"/>
      <c r="BS17" s="97"/>
      <c r="BT17" s="97"/>
      <c r="BU17" s="97"/>
    </row>
    <row r="18" spans="1:73" ht="17.100000000000001" customHeight="1" x14ac:dyDescent="0.2">
      <c r="A18" s="542" t="s">
        <v>216</v>
      </c>
      <c r="B18" s="543"/>
      <c r="C18" s="543"/>
      <c r="D18" s="544"/>
      <c r="E18" s="100"/>
      <c r="F18" s="98"/>
      <c r="AB18" s="97"/>
      <c r="AC18" s="97"/>
      <c r="AD18" s="97"/>
      <c r="AE18" s="97"/>
      <c r="AF18" s="97"/>
      <c r="AG18" s="97"/>
      <c r="AH18" s="97"/>
      <c r="AI18" s="97"/>
      <c r="AJ18" s="97"/>
      <c r="AK18" s="97"/>
      <c r="AL18" s="97"/>
      <c r="AM18" s="97"/>
      <c r="AN18" s="97"/>
      <c r="AO18" s="97"/>
      <c r="AP18" s="97"/>
      <c r="AQ18" s="97"/>
      <c r="AR18" s="97"/>
      <c r="AS18" s="97"/>
      <c r="AT18" s="97"/>
      <c r="AU18" s="97"/>
      <c r="AV18" s="97"/>
      <c r="AW18" s="97"/>
      <c r="AX18" s="97"/>
      <c r="AY18" s="97"/>
      <c r="AZ18" s="97"/>
      <c r="BA18" s="97"/>
      <c r="BB18" s="97"/>
      <c r="BC18" s="97"/>
      <c r="BD18" s="97"/>
      <c r="BE18" s="97"/>
      <c r="BF18" s="97"/>
      <c r="BG18" s="97"/>
      <c r="BH18" s="97"/>
      <c r="BI18" s="97"/>
      <c r="BJ18" s="97"/>
      <c r="BK18" s="97"/>
      <c r="BL18" s="97"/>
      <c r="BM18" s="97"/>
      <c r="BN18" s="97"/>
      <c r="BO18" s="97"/>
      <c r="BP18" s="97"/>
      <c r="BQ18" s="97"/>
      <c r="BR18" s="97"/>
      <c r="BS18" s="97"/>
      <c r="BT18" s="97"/>
      <c r="BU18" s="97"/>
    </row>
    <row r="19" spans="1:73" ht="17.100000000000001" customHeight="1" x14ac:dyDescent="0.2">
      <c r="A19" s="35" t="s">
        <v>38</v>
      </c>
      <c r="B19" s="181">
        <f>B9-(((Acid_Required+Acid_Required2))*50)</f>
        <v>6.1929074325632545</v>
      </c>
      <c r="C19" s="22" t="s">
        <v>209</v>
      </c>
      <c r="D19" s="25"/>
      <c r="E19" s="100"/>
      <c r="F19" s="98"/>
      <c r="AB19" s="97"/>
      <c r="AC19" s="97"/>
      <c r="AD19" s="97"/>
      <c r="AE19" s="97"/>
      <c r="AF19" s="97"/>
      <c r="AG19" s="97"/>
      <c r="AH19" s="97"/>
      <c r="AI19" s="97"/>
      <c r="AJ19" s="97"/>
      <c r="AK19" s="97"/>
      <c r="AL19" s="97"/>
      <c r="AM19" s="97"/>
      <c r="AN19" s="97"/>
      <c r="AO19" s="97"/>
      <c r="AP19" s="97"/>
      <c r="AQ19" s="97"/>
      <c r="AR19" s="97"/>
      <c r="AS19" s="97"/>
      <c r="AT19" s="97"/>
      <c r="AU19" s="97"/>
      <c r="AV19" s="97"/>
      <c r="AW19" s="97"/>
      <c r="AX19" s="97"/>
      <c r="AY19" s="97"/>
      <c r="AZ19" s="97"/>
      <c r="BA19" s="97"/>
      <c r="BB19" s="97"/>
      <c r="BC19" s="97"/>
      <c r="BD19" s="97"/>
      <c r="BE19" s="97"/>
      <c r="BF19" s="97"/>
      <c r="BG19" s="97"/>
      <c r="BH19" s="97"/>
      <c r="BI19" s="97"/>
      <c r="BJ19" s="97"/>
      <c r="BK19" s="97"/>
      <c r="BL19" s="97"/>
      <c r="BM19" s="97"/>
      <c r="BN19" s="97"/>
      <c r="BO19" s="97"/>
      <c r="BP19" s="97"/>
      <c r="BQ19" s="97"/>
      <c r="BR19" s="97"/>
      <c r="BS19" s="97"/>
      <c r="BT19" s="97"/>
      <c r="BU19" s="97"/>
    </row>
    <row r="20" spans="1:73" ht="17.100000000000001" customHeight="1" x14ac:dyDescent="0.2">
      <c r="A20" s="164" t="str">
        <f>VLOOKUP($A$46,table,11,FALSE)</f>
        <v>Phosphoric Acid Required =</v>
      </c>
      <c r="B20" s="382">
        <f>IF($A$46=9,C59,VLOOKUP($A$46,table,13,FALSE))</f>
        <v>0.46029842052885411</v>
      </c>
      <c r="C20" s="108" t="str">
        <f>IF(B15=100," ",VLOOKUP($A$46,table,8,FALSE))</f>
        <v>(ml)</v>
      </c>
      <c r="D20" s="205">
        <f>VLOOKUP($A$46,table,14,FALSE)</f>
        <v>9.3394549525304502E-2</v>
      </c>
      <c r="E20" s="36" t="str">
        <f>IF(B15=100," ",VLOOKUP($A$46,table,9,FALSE))</f>
        <v>(tsp)</v>
      </c>
      <c r="F20" s="98"/>
      <c r="AB20" s="97"/>
      <c r="AC20" s="97"/>
      <c r="AD20" s="97"/>
      <c r="AE20" s="97"/>
      <c r="AF20" s="97"/>
      <c r="AG20" s="97"/>
      <c r="AH20" s="97"/>
      <c r="AI20" s="97"/>
      <c r="AJ20" s="97"/>
      <c r="AK20" s="97"/>
      <c r="AL20" s="97"/>
      <c r="AM20" s="97"/>
      <c r="AN20" s="97"/>
      <c r="AO20" s="97"/>
      <c r="AP20" s="97"/>
      <c r="AQ20" s="97"/>
      <c r="AR20" s="97"/>
      <c r="AS20" s="97"/>
      <c r="AT20" s="97"/>
      <c r="AU20" s="97"/>
      <c r="AV20" s="97"/>
      <c r="AW20" s="97"/>
      <c r="AX20" s="97"/>
      <c r="AY20" s="97"/>
      <c r="AZ20" s="97"/>
      <c r="BA20" s="97"/>
      <c r="BB20" s="97"/>
      <c r="BC20" s="97"/>
      <c r="BD20" s="97"/>
      <c r="BE20" s="97"/>
      <c r="BF20" s="97"/>
      <c r="BG20" s="97"/>
      <c r="BH20" s="97"/>
      <c r="BI20" s="97"/>
      <c r="BJ20" s="97"/>
      <c r="BK20" s="97"/>
      <c r="BL20" s="97"/>
      <c r="BM20" s="97"/>
      <c r="BN20" s="97"/>
      <c r="BO20" s="97"/>
      <c r="BP20" s="97"/>
      <c r="BQ20" s="97"/>
      <c r="BR20" s="97"/>
      <c r="BS20" s="97"/>
      <c r="BT20" s="97"/>
      <c r="BU20" s="97"/>
    </row>
    <row r="21" spans="1:73" ht="17.100000000000001" customHeight="1" x14ac:dyDescent="0.2">
      <c r="A21" s="164" t="str">
        <f>VLOOKUP($A$73,table2,11,FALSE)</f>
        <v>Phosphoric Acid Required =</v>
      </c>
      <c r="B21" s="44">
        <f>IF($A$73=9,C86,VLOOKUP($A$73,table2,13,FALSE))</f>
        <v>0</v>
      </c>
      <c r="C21" s="108" t="str">
        <f>IF(B15=0," ",VLOOKUP($A$73,table2,8,FALSE))</f>
        <v xml:space="preserve"> </v>
      </c>
      <c r="D21" s="205">
        <f>VLOOKUP($A$73,table2,14,FALSE)</f>
        <v>0</v>
      </c>
      <c r="E21" s="36" t="str">
        <f>IF(B15=0," ",VLOOKUP($A$73,table2,9,FALSE))</f>
        <v xml:space="preserve"> </v>
      </c>
      <c r="F21" s="98"/>
      <c r="AB21" s="97"/>
      <c r="AC21" s="97"/>
      <c r="AD21" s="97"/>
      <c r="AE21" s="97"/>
      <c r="AF21" s="97"/>
      <c r="AG21" s="97"/>
      <c r="AH21" s="97"/>
      <c r="AI21" s="97"/>
      <c r="AJ21" s="97"/>
      <c r="AK21" s="97"/>
      <c r="AL21" s="97"/>
      <c r="AM21" s="97"/>
      <c r="AN21" s="97"/>
      <c r="AO21" s="97"/>
      <c r="AP21" s="97"/>
      <c r="AQ21" s="97"/>
      <c r="AR21" s="97"/>
      <c r="AS21" s="97"/>
      <c r="AT21" s="97"/>
      <c r="AU21" s="97"/>
      <c r="AV21" s="97"/>
      <c r="AW21" s="97"/>
      <c r="AX21" s="97"/>
      <c r="AY21" s="97"/>
      <c r="AZ21" s="97"/>
      <c r="BA21" s="97"/>
      <c r="BB21" s="97"/>
      <c r="BC21" s="97"/>
      <c r="BD21" s="97"/>
      <c r="BE21" s="97"/>
      <c r="BF21" s="97"/>
      <c r="BG21" s="97"/>
      <c r="BH21" s="97"/>
      <c r="BI21" s="97"/>
      <c r="BJ21" s="97"/>
      <c r="BK21" s="97"/>
      <c r="BL21" s="97"/>
      <c r="BM21" s="97"/>
      <c r="BN21" s="97"/>
      <c r="BO21" s="97"/>
      <c r="BP21" s="97"/>
      <c r="BQ21" s="97"/>
      <c r="BR21" s="97"/>
      <c r="BS21" s="97"/>
      <c r="BT21" s="97"/>
      <c r="BU21" s="97"/>
    </row>
    <row r="22" spans="1:73" ht="17.100000000000001" customHeight="1" x14ac:dyDescent="0.2">
      <c r="A22" s="37" t="s">
        <v>547</v>
      </c>
      <c r="B22" s="212">
        <f>IF(OR(AND(A46=5,A73=9),AND(A46=9,A73=5)),IF(A46=9,((C59*88.57)/($J$63*$B$12)),((C86*88.57)/($J$63*$B$12)))+(IF(A46=5,VLOOKUP(A58,strtable,4,FALSE),0))+(IF(A73=5,VLOOKUP(A85,strtable2,4,FALSE),0)),(IF(A46=5,VLOOKUP(A58,strtable,4,FALSE),IF(A46=9,(C59*88.57)/($J$63*$B$12))+(IF(A73=5,VLOOKUP(A85,strtable2,4,FALSE),IF(A73=9,(C86*88.57)/($J$63*$B$12)))))))</f>
        <v>0</v>
      </c>
      <c r="C22" s="36" t="s">
        <v>208</v>
      </c>
      <c r="D22" s="25"/>
      <c r="E22" s="100"/>
      <c r="F22" s="339">
        <f>IF(A46=9,(C59*88.57)/(J63*B12),IF(A46=5,VLOOKUP(A58,strtable,4,FALSE),0))</f>
        <v>0</v>
      </c>
      <c r="G22" s="340">
        <f>IF(A73=9,(C86*88.57)/(J63*B12),IF(A73=5,VLOOKUP(A85,strtable2,4,FALSE),0))</f>
        <v>0</v>
      </c>
      <c r="AB22" s="97"/>
      <c r="AC22" s="97"/>
      <c r="AD22" s="97"/>
      <c r="AE22" s="97"/>
      <c r="AF22" s="97"/>
      <c r="AG22" s="97"/>
      <c r="AH22" s="97"/>
      <c r="AI22" s="97"/>
      <c r="AJ22" s="97"/>
      <c r="AK22" s="97"/>
      <c r="AL22" s="97"/>
      <c r="AM22" s="97"/>
      <c r="AN22" s="97"/>
      <c r="AO22" s="97"/>
      <c r="AP22" s="97"/>
      <c r="AQ22" s="97"/>
      <c r="AR22" s="97"/>
      <c r="AS22" s="97"/>
      <c r="AT22" s="97"/>
      <c r="AU22" s="97"/>
      <c r="AV22" s="97"/>
      <c r="AW22" s="97"/>
      <c r="AX22" s="97"/>
      <c r="AY22" s="97"/>
      <c r="AZ22" s="97"/>
      <c r="BA22" s="97"/>
      <c r="BB22" s="97"/>
      <c r="BC22" s="97"/>
      <c r="BD22" s="97"/>
      <c r="BE22" s="97"/>
      <c r="BF22" s="97"/>
      <c r="BG22" s="97"/>
      <c r="BH22" s="97"/>
      <c r="BI22" s="97"/>
      <c r="BJ22" s="97"/>
      <c r="BK22" s="97"/>
      <c r="BL22" s="97"/>
      <c r="BM22" s="97"/>
      <c r="BN22" s="97"/>
      <c r="BO22" s="97"/>
      <c r="BP22" s="97"/>
      <c r="BQ22" s="97"/>
      <c r="BR22" s="97"/>
      <c r="BS22" s="97"/>
      <c r="BT22" s="97"/>
      <c r="BU22" s="97"/>
    </row>
    <row r="23" spans="1:73" ht="17.100000000000001" customHeight="1" x14ac:dyDescent="0.2">
      <c r="A23" s="37" t="s">
        <v>548</v>
      </c>
      <c r="B23" s="208">
        <f>IF(OR(AND(A46=2,A73=9),AND(A46=9,A73=2)),IF(A46=9,((C59*64)/($J$63*$B$12)),((C86*64)/($J$63*$B$12)))+(IF(A46=2,VLOOKUP(A58,strtable,5,FALSE),0))+(IF(A73=2,VLOOKUP(A85,strtable2,5,FALSE),0)),(IF(A46=2,VLOOKUP(A58,strtable,5,FALSE),IF(A46=9,(C59*64)/($J$63*$B$12))+(IF(A73=2,VLOOKUP(A85,strtable2,5,FALSE),IF(A73=9,(C86*64)/($J$63*$B$12)))))))</f>
        <v>0</v>
      </c>
      <c r="C23" s="36" t="s">
        <v>208</v>
      </c>
      <c r="D23" s="25"/>
      <c r="E23" s="100"/>
      <c r="F23" s="339">
        <f>IF(A46=9,(C59*64)/(J63*B12),IF(A46=2,VLOOKUP(A58,strtable,5,FALSE),0))</f>
        <v>0</v>
      </c>
      <c r="G23" s="340">
        <f>IF(A73=9,(C86*64)/(J63*B12),IF(A73=2,VLOOKUP(A85,strtable2,5,FALSE),0))</f>
        <v>0</v>
      </c>
      <c r="AB23" s="97"/>
      <c r="AC23" s="97"/>
      <c r="AD23" s="97"/>
      <c r="AE23" s="97"/>
      <c r="AF23" s="97"/>
      <c r="AG23" s="97"/>
      <c r="AH23" s="97"/>
      <c r="AI23" s="97"/>
      <c r="AJ23" s="97"/>
      <c r="AK23" s="97"/>
      <c r="AL23" s="97"/>
      <c r="AM23" s="97"/>
      <c r="AN23" s="97"/>
      <c r="AO23" s="97"/>
      <c r="AP23" s="97"/>
      <c r="AQ23" s="97"/>
      <c r="AR23" s="97"/>
      <c r="AS23" s="97"/>
      <c r="AT23" s="97"/>
      <c r="AU23" s="97"/>
      <c r="AV23" s="97"/>
      <c r="AW23" s="97"/>
      <c r="AX23" s="97"/>
      <c r="AY23" s="97"/>
      <c r="AZ23" s="97"/>
      <c r="BA23" s="97"/>
      <c r="BB23" s="97"/>
      <c r="BC23" s="97"/>
      <c r="BD23" s="97"/>
      <c r="BE23" s="97"/>
      <c r="BF23" s="97"/>
      <c r="BG23" s="97"/>
      <c r="BH23" s="97"/>
      <c r="BI23" s="97"/>
      <c r="BJ23" s="97"/>
      <c r="BK23" s="97"/>
      <c r="BL23" s="97"/>
      <c r="BM23" s="97"/>
      <c r="BN23" s="97"/>
      <c r="BO23" s="97"/>
      <c r="BP23" s="97"/>
      <c r="BQ23" s="97"/>
      <c r="BR23" s="97"/>
      <c r="BS23" s="97"/>
      <c r="BT23" s="97"/>
      <c r="BU23" s="97"/>
    </row>
    <row r="24" spans="1:73" ht="17.100000000000001" customHeight="1" x14ac:dyDescent="0.2">
      <c r="A24" s="164" t="str">
        <f>IF(T69=0," ",O56)</f>
        <v>Phosphate Added to Water =</v>
      </c>
      <c r="B24" s="212">
        <f>IF(mM_required*P56&lt;1," ",mM_required*P56)</f>
        <v>12.420929310657241</v>
      </c>
      <c r="C24" s="36" t="s">
        <v>208</v>
      </c>
      <c r="D24" s="242" t="str">
        <f>IF(B24=" "," ",IF(B24&gt;R56,"May be over taste threshold"," "))</f>
        <v xml:space="preserve"> </v>
      </c>
      <c r="E24" s="100"/>
      <c r="F24" s="98"/>
      <c r="AB24" s="97"/>
      <c r="AC24" s="97"/>
      <c r="AD24" s="97"/>
      <c r="AE24" s="97"/>
      <c r="AF24" s="97"/>
      <c r="AG24" s="97"/>
      <c r="AH24" s="97"/>
      <c r="AI24" s="97"/>
      <c r="AJ24" s="97"/>
      <c r="AK24" s="97"/>
      <c r="AL24" s="97"/>
      <c r="AM24" s="97"/>
      <c r="AN24" s="97"/>
      <c r="AO24" s="97"/>
      <c r="AP24" s="97"/>
      <c r="AQ24" s="97"/>
      <c r="AR24" s="97"/>
      <c r="AS24" s="97"/>
      <c r="AT24" s="97"/>
      <c r="AU24" s="97"/>
      <c r="AV24" s="97"/>
      <c r="AW24" s="97"/>
      <c r="AX24" s="97"/>
      <c r="AY24" s="97"/>
      <c r="AZ24" s="97"/>
      <c r="BA24" s="97"/>
      <c r="BB24" s="97"/>
      <c r="BC24" s="97"/>
      <c r="BD24" s="97"/>
      <c r="BE24" s="97"/>
      <c r="BF24" s="97"/>
      <c r="BG24" s="97"/>
      <c r="BH24" s="97"/>
      <c r="BI24" s="97"/>
      <c r="BJ24" s="97"/>
      <c r="BK24" s="97"/>
      <c r="BL24" s="97"/>
      <c r="BM24" s="97"/>
      <c r="BN24" s="97"/>
      <c r="BO24" s="97"/>
      <c r="BP24" s="97"/>
      <c r="BQ24" s="97"/>
      <c r="BR24" s="97"/>
      <c r="BS24" s="97"/>
      <c r="BT24" s="97"/>
      <c r="BU24" s="97"/>
    </row>
    <row r="25" spans="1:73" ht="17.100000000000001" customHeight="1" x14ac:dyDescent="0.2">
      <c r="A25" s="164" t="str">
        <f>IF(T83=0," ",O83)</f>
        <v xml:space="preserve"> </v>
      </c>
      <c r="B25" s="212" t="str">
        <f>IF(mm_required2*P83&lt;1," ",mm_required2*P83)</f>
        <v xml:space="preserve"> </v>
      </c>
      <c r="C25" s="36" t="s">
        <v>208</v>
      </c>
      <c r="D25" s="242" t="str">
        <f>IF(B25=" "," ",IF(B25&gt;R83,"May be over taste threshold"," "))</f>
        <v xml:space="preserve"> </v>
      </c>
      <c r="E25" s="100"/>
      <c r="F25" s="98"/>
      <c r="AB25" s="97"/>
      <c r="AC25" s="97"/>
      <c r="AD25" s="97"/>
      <c r="AE25" s="97"/>
      <c r="AF25" s="97"/>
      <c r="AG25" s="97"/>
      <c r="AH25" s="97"/>
      <c r="AI25" s="97"/>
      <c r="AJ25" s="97"/>
      <c r="AK25" s="97"/>
      <c r="AL25" s="97"/>
      <c r="AM25" s="97"/>
      <c r="AN25" s="97"/>
      <c r="AO25" s="97"/>
      <c r="AP25" s="97"/>
      <c r="AQ25" s="97"/>
      <c r="AR25" s="97"/>
      <c r="AS25" s="97"/>
      <c r="AT25" s="97"/>
      <c r="AU25" s="97"/>
      <c r="AV25" s="97"/>
      <c r="AW25" s="97"/>
      <c r="AX25" s="97"/>
      <c r="AY25" s="97"/>
      <c r="AZ25" s="97"/>
      <c r="BA25" s="97"/>
      <c r="BB25" s="97"/>
      <c r="BC25" s="97"/>
      <c r="BD25" s="97"/>
      <c r="BE25" s="97"/>
      <c r="BF25" s="97"/>
      <c r="BG25" s="97"/>
      <c r="BH25" s="97"/>
      <c r="BI25" s="97"/>
      <c r="BJ25" s="97"/>
      <c r="BK25" s="97"/>
      <c r="BL25" s="97"/>
      <c r="BM25" s="97"/>
      <c r="BN25" s="97"/>
      <c r="BO25" s="97"/>
      <c r="BP25" s="97"/>
      <c r="BQ25" s="97"/>
      <c r="BR25" s="97"/>
      <c r="BS25" s="97"/>
      <c r="BT25" s="97"/>
      <c r="BU25" s="97"/>
    </row>
    <row r="26" spans="1:73" ht="17.100000000000001" customHeight="1" x14ac:dyDescent="0.2">
      <c r="A26" s="533" t="s">
        <v>885</v>
      </c>
      <c r="B26" s="533"/>
      <c r="C26" s="533"/>
      <c r="D26" s="533"/>
      <c r="E26" s="387"/>
      <c r="F26" s="98"/>
      <c r="G26" s="98"/>
      <c r="H26" s="98"/>
      <c r="I26" s="98"/>
      <c r="J26" s="98"/>
      <c r="K26" s="98"/>
      <c r="L26" s="98"/>
      <c r="M26" s="98"/>
      <c r="N26" s="98"/>
      <c r="O26" s="98"/>
      <c r="P26" s="98"/>
      <c r="Q26" s="98"/>
      <c r="R26" s="98"/>
      <c r="S26" s="98"/>
      <c r="T26" s="98"/>
      <c r="AB26" s="97"/>
      <c r="AC26" s="97"/>
      <c r="AD26" s="97"/>
      <c r="AE26" s="97"/>
      <c r="AF26" s="97"/>
      <c r="AG26" s="97"/>
      <c r="AH26" s="97"/>
      <c r="AI26" s="97"/>
      <c r="AJ26" s="97"/>
      <c r="AK26" s="97"/>
      <c r="AL26" s="97"/>
      <c r="AM26" s="97"/>
      <c r="AN26" s="97"/>
      <c r="AO26" s="97"/>
      <c r="AP26" s="97"/>
      <c r="AQ26" s="97"/>
      <c r="AR26" s="97"/>
      <c r="AS26" s="97"/>
      <c r="AT26" s="97"/>
      <c r="AU26" s="97"/>
      <c r="AV26" s="97"/>
      <c r="AW26" s="97"/>
      <c r="AX26" s="97"/>
      <c r="AY26" s="97"/>
      <c r="AZ26" s="97"/>
      <c r="BA26" s="97"/>
      <c r="BB26" s="97"/>
      <c r="BC26" s="97"/>
      <c r="BD26" s="97"/>
      <c r="BE26" s="97"/>
      <c r="BF26" s="97"/>
      <c r="BG26" s="97"/>
      <c r="BH26" s="97"/>
      <c r="BI26" s="97"/>
      <c r="BJ26" s="97"/>
      <c r="BK26" s="97"/>
      <c r="BL26" s="97"/>
      <c r="BM26" s="97"/>
      <c r="BN26" s="97"/>
      <c r="BO26" s="97"/>
      <c r="BP26" s="97"/>
      <c r="BQ26" s="97"/>
      <c r="BR26" s="97"/>
      <c r="BS26" s="97"/>
      <c r="BT26" s="97"/>
      <c r="BU26" s="97"/>
    </row>
    <row r="27" spans="1:73" ht="109.15" customHeight="1" x14ac:dyDescent="0.2">
      <c r="A27" s="551" t="s">
        <v>890</v>
      </c>
      <c r="B27" s="551"/>
      <c r="C27" s="551"/>
      <c r="D27" s="551"/>
      <c r="E27" s="384"/>
      <c r="F27" s="98"/>
      <c r="G27" s="98"/>
      <c r="H27" s="98"/>
      <c r="I27" s="98"/>
      <c r="J27" s="98"/>
      <c r="K27" s="98"/>
      <c r="L27" s="98"/>
      <c r="M27" s="98"/>
      <c r="N27" s="98"/>
      <c r="O27" s="98"/>
      <c r="P27" s="98"/>
      <c r="Q27" s="98"/>
      <c r="R27" s="98"/>
      <c r="S27" s="98"/>
      <c r="T27" s="98"/>
      <c r="AB27" s="97"/>
      <c r="AC27" s="97"/>
      <c r="AD27" s="97"/>
      <c r="AE27" s="97"/>
      <c r="AF27" s="97"/>
      <c r="AG27" s="97"/>
      <c r="AH27" s="97"/>
      <c r="AI27" s="97"/>
      <c r="AJ27" s="97"/>
      <c r="AK27" s="97"/>
      <c r="AL27" s="97"/>
      <c r="AM27" s="97"/>
      <c r="AN27" s="97"/>
      <c r="AO27" s="97"/>
      <c r="AP27" s="97"/>
      <c r="AQ27" s="97"/>
      <c r="AR27" s="97"/>
      <c r="AS27" s="97"/>
      <c r="AT27" s="97"/>
      <c r="AU27" s="97"/>
      <c r="AV27" s="97"/>
      <c r="AW27" s="97"/>
      <c r="AX27" s="97"/>
      <c r="AY27" s="97"/>
      <c r="AZ27" s="97"/>
      <c r="BA27" s="97"/>
      <c r="BB27" s="97"/>
      <c r="BC27" s="97"/>
      <c r="BD27" s="97"/>
      <c r="BE27" s="97"/>
      <c r="BF27" s="97"/>
      <c r="BG27" s="97"/>
      <c r="BH27" s="97"/>
      <c r="BI27" s="97"/>
      <c r="BJ27" s="97"/>
      <c r="BK27" s="97"/>
      <c r="BL27" s="97"/>
      <c r="BM27" s="97"/>
      <c r="BN27" s="97"/>
      <c r="BO27" s="97"/>
      <c r="BP27" s="97"/>
      <c r="BQ27" s="97"/>
      <c r="BR27" s="97"/>
      <c r="BS27" s="97"/>
      <c r="BT27" s="97"/>
      <c r="BU27" s="97"/>
    </row>
    <row r="28" spans="1:73" ht="71.650000000000006" customHeight="1" x14ac:dyDescent="0.25">
      <c r="A28" s="541" t="s">
        <v>976</v>
      </c>
      <c r="B28" s="541"/>
      <c r="C28" s="541"/>
      <c r="D28" s="541"/>
      <c r="E28" s="385"/>
      <c r="F28" s="100"/>
      <c r="G28" s="100"/>
      <c r="H28" s="100"/>
      <c r="I28" s="100"/>
      <c r="J28" s="100"/>
      <c r="K28" s="100"/>
      <c r="L28" s="100"/>
      <c r="M28" s="100"/>
      <c r="N28" s="100"/>
      <c r="O28" s="100"/>
      <c r="P28" s="100"/>
      <c r="Q28" s="98"/>
      <c r="R28" s="98"/>
      <c r="S28" s="272" t="s">
        <v>65</v>
      </c>
      <c r="T28" s="273">
        <f>10^(N(B10)-6.38)</f>
        <v>1.3182567385564075</v>
      </c>
      <c r="U28" s="100"/>
      <c r="AB28" s="97"/>
      <c r="AC28" s="97"/>
      <c r="AD28" s="97"/>
      <c r="AE28" s="97"/>
      <c r="AF28" s="97"/>
      <c r="AG28" s="97"/>
      <c r="AH28" s="97"/>
      <c r="AI28" s="97"/>
      <c r="AJ28" s="97"/>
      <c r="AK28" s="97"/>
      <c r="AL28" s="97"/>
      <c r="AM28" s="97"/>
      <c r="AN28" s="97"/>
      <c r="AO28" s="97"/>
      <c r="AP28" s="97"/>
      <c r="AQ28" s="97"/>
      <c r="AR28" s="97"/>
      <c r="AS28" s="97"/>
      <c r="AT28" s="97"/>
      <c r="AU28" s="97"/>
      <c r="AV28" s="97"/>
      <c r="AW28" s="97"/>
      <c r="AX28" s="97"/>
      <c r="AY28" s="97"/>
      <c r="AZ28" s="97"/>
      <c r="BA28" s="97"/>
      <c r="BB28" s="97"/>
      <c r="BC28" s="97"/>
      <c r="BD28" s="97"/>
      <c r="BE28" s="97"/>
      <c r="BF28" s="97"/>
      <c r="BG28" s="97"/>
      <c r="BH28" s="97"/>
      <c r="BI28" s="97"/>
      <c r="BJ28" s="97"/>
      <c r="BK28" s="97"/>
      <c r="BL28" s="97"/>
      <c r="BM28" s="97"/>
      <c r="BN28" s="97"/>
      <c r="BO28" s="97"/>
      <c r="BP28" s="97"/>
      <c r="BQ28" s="97"/>
      <c r="BR28" s="97"/>
      <c r="BS28" s="97"/>
      <c r="BT28" s="97"/>
      <c r="BU28" s="97"/>
    </row>
    <row r="29" spans="1:73" ht="23.65" customHeight="1" x14ac:dyDescent="0.25">
      <c r="A29" s="541" t="s">
        <v>990</v>
      </c>
      <c r="B29" s="541"/>
      <c r="C29" s="541"/>
      <c r="D29" s="541"/>
      <c r="E29" s="269"/>
      <c r="F29" s="269"/>
      <c r="G29" s="269"/>
      <c r="H29" s="269"/>
      <c r="I29" s="100"/>
      <c r="J29" s="100"/>
      <c r="K29" s="100"/>
      <c r="L29" s="100"/>
      <c r="M29" s="100"/>
      <c r="N29" s="100"/>
      <c r="O29" s="100"/>
      <c r="P29" s="100"/>
      <c r="Q29" s="98"/>
      <c r="R29" s="98"/>
      <c r="S29" s="272" t="s">
        <v>66</v>
      </c>
      <c r="T29" s="273">
        <f>10^(N(B10)-10.33)</f>
        <v>1.4791083881682062E-4</v>
      </c>
      <c r="U29" s="100"/>
      <c r="AB29" s="97"/>
      <c r="AC29" s="97"/>
      <c r="AD29" s="97"/>
      <c r="AE29" s="97"/>
      <c r="AF29" s="97"/>
      <c r="AG29" s="97"/>
      <c r="AH29" s="97"/>
      <c r="AI29" s="97"/>
      <c r="AJ29" s="97"/>
      <c r="AK29" s="97"/>
      <c r="AL29" s="97"/>
      <c r="AM29" s="97"/>
      <c r="AN29" s="97"/>
      <c r="AO29" s="97"/>
      <c r="AP29" s="97"/>
      <c r="AQ29" s="97"/>
      <c r="AR29" s="97"/>
      <c r="AS29" s="97"/>
      <c r="AT29" s="97"/>
      <c r="AU29" s="97"/>
      <c r="AV29" s="97"/>
      <c r="AW29" s="97"/>
      <c r="AX29" s="97"/>
      <c r="AY29" s="97"/>
      <c r="AZ29" s="97"/>
      <c r="BA29" s="97"/>
      <c r="BB29" s="97"/>
      <c r="BC29" s="97"/>
      <c r="BD29" s="97"/>
      <c r="BE29" s="97"/>
      <c r="BF29" s="97"/>
      <c r="BG29" s="97"/>
      <c r="BH29" s="97"/>
      <c r="BI29" s="97"/>
      <c r="BJ29" s="97"/>
      <c r="BK29" s="97"/>
      <c r="BL29" s="97"/>
      <c r="BM29" s="97"/>
      <c r="BN29" s="97"/>
      <c r="BO29" s="97"/>
      <c r="BP29" s="97"/>
      <c r="BQ29" s="97"/>
      <c r="BR29" s="97"/>
      <c r="BS29" s="97"/>
      <c r="BT29" s="97"/>
      <c r="BU29" s="97"/>
    </row>
    <row r="30" spans="1:73" ht="32.1" customHeight="1" x14ac:dyDescent="0.2">
      <c r="A30" s="532" t="s">
        <v>453</v>
      </c>
      <c r="B30" s="532"/>
      <c r="C30" s="532"/>
      <c r="D30" s="532"/>
      <c r="E30" s="386"/>
      <c r="F30" s="100"/>
      <c r="G30" s="100"/>
      <c r="H30" s="100"/>
      <c r="I30" s="100"/>
      <c r="J30" s="100"/>
      <c r="K30" s="100"/>
      <c r="L30" s="100"/>
      <c r="M30" s="100"/>
      <c r="N30" s="100"/>
      <c r="O30" s="100"/>
      <c r="P30" s="100"/>
      <c r="Q30" s="98"/>
      <c r="R30" s="98"/>
      <c r="S30" s="272" t="s">
        <v>67</v>
      </c>
      <c r="T30" s="273">
        <f>1+T28+(T28*T29)</f>
        <v>2.3184517230163832</v>
      </c>
      <c r="U30" s="100"/>
      <c r="AB30" s="97"/>
      <c r="AC30" s="97"/>
      <c r="AD30" s="97"/>
      <c r="AE30" s="97"/>
      <c r="AF30" s="97"/>
      <c r="AG30" s="97"/>
      <c r="AH30" s="97"/>
      <c r="AI30" s="97"/>
      <c r="AJ30" s="97"/>
      <c r="AK30" s="97"/>
      <c r="AL30" s="97"/>
      <c r="AM30" s="97"/>
      <c r="AN30" s="97"/>
      <c r="AO30" s="97"/>
      <c r="AP30" s="97"/>
      <c r="AQ30" s="97"/>
      <c r="AR30" s="97"/>
      <c r="AS30" s="97"/>
      <c r="AT30" s="97"/>
      <c r="AU30" s="97"/>
      <c r="AV30" s="97"/>
      <c r="AW30" s="97"/>
      <c r="AX30" s="97"/>
      <c r="AY30" s="97"/>
      <c r="AZ30" s="97"/>
      <c r="BA30" s="97"/>
      <c r="BB30" s="97"/>
      <c r="BC30" s="97"/>
      <c r="BD30" s="97"/>
      <c r="BE30" s="97"/>
      <c r="BF30" s="97"/>
      <c r="BG30" s="97"/>
      <c r="BH30" s="97"/>
      <c r="BI30" s="97"/>
      <c r="BJ30" s="97"/>
      <c r="BK30" s="97"/>
      <c r="BL30" s="97"/>
      <c r="BM30" s="97"/>
      <c r="BN30" s="97"/>
      <c r="BO30" s="97"/>
      <c r="BP30" s="97"/>
      <c r="BQ30" s="97"/>
      <c r="BR30" s="97"/>
      <c r="BS30" s="97"/>
      <c r="BT30" s="97"/>
      <c r="BU30" s="97"/>
    </row>
    <row r="31" spans="1:73" s="145" customFormat="1" ht="12" customHeight="1" x14ac:dyDescent="0.2">
      <c r="D31" s="144"/>
      <c r="E31" s="99"/>
      <c r="F31" s="100"/>
      <c r="G31" s="100"/>
      <c r="H31" s="100"/>
      <c r="I31" s="100"/>
      <c r="J31" s="100"/>
      <c r="K31" s="100"/>
      <c r="L31" s="100"/>
      <c r="M31" s="100"/>
      <c r="N31" s="100"/>
      <c r="O31" s="100"/>
      <c r="P31" s="100"/>
      <c r="Q31" s="98"/>
      <c r="R31" s="98"/>
      <c r="S31" s="272" t="s">
        <v>68</v>
      </c>
      <c r="T31" s="273">
        <f>1/T30</f>
        <v>0.43132233036061091</v>
      </c>
      <c r="U31" s="100"/>
      <c r="V31" s="97"/>
      <c r="W31" s="97"/>
      <c r="X31" s="97"/>
      <c r="Y31" s="97"/>
      <c r="Z31" s="97"/>
      <c r="AA31" s="97"/>
      <c r="AB31" s="97"/>
      <c r="AC31" s="97"/>
      <c r="AD31" s="97"/>
      <c r="AE31" s="97"/>
      <c r="AF31" s="97"/>
      <c r="AG31" s="97"/>
      <c r="AH31" s="97"/>
      <c r="AI31" s="97"/>
      <c r="AJ31" s="97"/>
      <c r="AK31" s="97"/>
      <c r="AL31" s="97"/>
      <c r="AM31" s="97"/>
      <c r="AN31" s="97"/>
      <c r="AO31" s="97"/>
      <c r="AP31" s="97"/>
      <c r="AQ31" s="97"/>
      <c r="AR31" s="97"/>
      <c r="AS31" s="97"/>
      <c r="AT31" s="97"/>
      <c r="AU31" s="97"/>
      <c r="AV31" s="97"/>
      <c r="AW31" s="97"/>
      <c r="AX31" s="97"/>
      <c r="AY31" s="97"/>
      <c r="AZ31" s="97"/>
      <c r="BA31" s="97"/>
      <c r="BB31" s="97"/>
      <c r="BC31" s="97"/>
      <c r="BD31" s="97"/>
      <c r="BE31" s="97"/>
      <c r="BF31" s="97"/>
      <c r="BG31" s="97"/>
      <c r="BH31" s="97"/>
      <c r="BI31" s="97"/>
      <c r="BJ31" s="97"/>
      <c r="BK31" s="97"/>
      <c r="BL31" s="97"/>
      <c r="BM31" s="97"/>
      <c r="BN31" s="97"/>
      <c r="BO31" s="97"/>
      <c r="BP31" s="97"/>
      <c r="BQ31" s="97"/>
      <c r="BR31" s="97"/>
      <c r="BS31" s="97"/>
      <c r="BT31" s="97"/>
      <c r="BU31" s="97"/>
    </row>
    <row r="32" spans="1:73" s="145" customFormat="1" ht="12" customHeight="1" x14ac:dyDescent="0.2">
      <c r="A32" s="97"/>
      <c r="B32" s="97"/>
      <c r="C32" s="97"/>
      <c r="D32" s="98"/>
      <c r="E32" s="100"/>
      <c r="F32" s="100"/>
      <c r="G32" s="100"/>
      <c r="H32" s="100"/>
      <c r="I32" s="100"/>
      <c r="J32" s="100"/>
      <c r="K32" s="100"/>
      <c r="L32" s="100"/>
      <c r="M32" s="100"/>
      <c r="N32" s="100"/>
      <c r="O32" s="100"/>
      <c r="P32" s="100"/>
      <c r="Q32" s="98"/>
      <c r="R32" s="98"/>
      <c r="S32" s="272" t="s">
        <v>69</v>
      </c>
      <c r="T32" s="273">
        <f>T28/T30</f>
        <v>0.56859356848772824</v>
      </c>
      <c r="U32" s="100"/>
      <c r="V32" s="97"/>
      <c r="W32" s="97"/>
      <c r="X32" s="97"/>
      <c r="Y32" s="97"/>
      <c r="Z32" s="97"/>
      <c r="AA32" s="97"/>
      <c r="AB32" s="97"/>
      <c r="AC32" s="97"/>
      <c r="AD32" s="97"/>
      <c r="AE32" s="97"/>
      <c r="AF32" s="97"/>
      <c r="AG32" s="97"/>
      <c r="AH32" s="97"/>
      <c r="AI32" s="97"/>
      <c r="AJ32" s="97"/>
      <c r="AK32" s="97"/>
      <c r="AL32" s="97"/>
      <c r="AM32" s="97"/>
      <c r="AN32" s="97"/>
      <c r="AO32" s="97"/>
      <c r="AP32" s="97"/>
      <c r="AQ32" s="97"/>
      <c r="AR32" s="97"/>
      <c r="AS32" s="97"/>
      <c r="AT32" s="97"/>
      <c r="AU32" s="97"/>
      <c r="AV32" s="97"/>
      <c r="AW32" s="97"/>
      <c r="AX32" s="97"/>
      <c r="AY32" s="97"/>
      <c r="AZ32" s="97"/>
      <c r="BA32" s="97"/>
      <c r="BB32" s="97"/>
      <c r="BC32" s="97"/>
      <c r="BD32" s="97"/>
      <c r="BE32" s="97"/>
      <c r="BF32" s="97"/>
      <c r="BG32" s="97"/>
      <c r="BH32" s="97"/>
      <c r="BI32" s="97"/>
      <c r="BJ32" s="97"/>
      <c r="BK32" s="97"/>
      <c r="BL32" s="97"/>
      <c r="BM32" s="97"/>
      <c r="BN32" s="97"/>
      <c r="BO32" s="97"/>
      <c r="BP32" s="97"/>
      <c r="BQ32" s="97"/>
      <c r="BR32" s="97"/>
      <c r="BS32" s="97"/>
      <c r="BT32" s="97"/>
      <c r="BU32" s="97"/>
    </row>
    <row r="33" spans="1:73" s="145" customFormat="1" ht="12" customHeight="1" x14ac:dyDescent="0.2">
      <c r="A33" s="97"/>
      <c r="B33" s="97"/>
      <c r="C33" s="97"/>
      <c r="D33" s="98"/>
      <c r="E33" s="100"/>
      <c r="F33" s="100"/>
      <c r="G33" s="100"/>
      <c r="H33" s="100"/>
      <c r="I33" s="100"/>
      <c r="J33" s="100"/>
      <c r="K33" s="100"/>
      <c r="L33" s="100"/>
      <c r="M33" s="100"/>
      <c r="N33" s="100"/>
      <c r="O33" s="100"/>
      <c r="P33" s="100"/>
      <c r="Q33" s="98"/>
      <c r="R33" s="98"/>
      <c r="S33" s="272" t="s">
        <v>70</v>
      </c>
      <c r="T33" s="273">
        <f>(T28*T29)/T30</f>
        <v>8.4101151660869234E-5</v>
      </c>
      <c r="U33" s="100"/>
      <c r="V33" s="97"/>
      <c r="W33" s="97"/>
      <c r="X33" s="97"/>
      <c r="Y33" s="97"/>
      <c r="Z33" s="97"/>
      <c r="AA33" s="97"/>
      <c r="AB33" s="97"/>
      <c r="AC33" s="97"/>
      <c r="AD33" s="97"/>
      <c r="AE33" s="97"/>
      <c r="AF33" s="97"/>
      <c r="AG33" s="97"/>
      <c r="AH33" s="97"/>
      <c r="AI33" s="97"/>
      <c r="AJ33" s="97"/>
      <c r="AK33" s="97"/>
      <c r="AL33" s="97"/>
      <c r="AM33" s="97"/>
      <c r="AN33" s="97"/>
      <c r="AO33" s="97"/>
      <c r="AP33" s="97"/>
      <c r="AQ33" s="97"/>
      <c r="AR33" s="97"/>
      <c r="AS33" s="97"/>
      <c r="AT33" s="97"/>
      <c r="AU33" s="97"/>
      <c r="AV33" s="97"/>
      <c r="AW33" s="97"/>
      <c r="AX33" s="97"/>
      <c r="AY33" s="97"/>
      <c r="AZ33" s="97"/>
      <c r="BA33" s="97"/>
      <c r="BB33" s="97"/>
      <c r="BC33" s="97"/>
      <c r="BD33" s="97"/>
      <c r="BE33" s="97"/>
      <c r="BF33" s="97"/>
      <c r="BG33" s="97"/>
      <c r="BH33" s="97"/>
      <c r="BI33" s="97"/>
      <c r="BJ33" s="97"/>
      <c r="BK33" s="97"/>
      <c r="BL33" s="97"/>
      <c r="BM33" s="97"/>
      <c r="BN33" s="97"/>
      <c r="BO33" s="97"/>
      <c r="BP33" s="97"/>
      <c r="BQ33" s="97"/>
      <c r="BR33" s="97"/>
      <c r="BS33" s="97"/>
      <c r="BT33" s="97"/>
      <c r="BU33" s="97"/>
    </row>
    <row r="34" spans="1:73" s="145" customFormat="1" ht="12" customHeight="1" x14ac:dyDescent="0.2">
      <c r="A34" s="97"/>
      <c r="B34" s="97"/>
      <c r="C34" s="97"/>
      <c r="D34" s="98"/>
      <c r="E34" s="100"/>
      <c r="F34" s="100"/>
      <c r="G34" s="100"/>
      <c r="H34" s="100"/>
      <c r="I34" s="100"/>
      <c r="J34" s="100"/>
      <c r="K34" s="100"/>
      <c r="L34" s="100"/>
      <c r="M34" s="100"/>
      <c r="N34" s="100"/>
      <c r="O34" s="100"/>
      <c r="P34" s="100"/>
      <c r="Q34" s="98"/>
      <c r="R34" s="98"/>
      <c r="S34" s="272"/>
      <c r="T34" s="100"/>
      <c r="U34" s="100"/>
      <c r="V34" s="97"/>
      <c r="W34" s="97"/>
      <c r="X34" s="97"/>
      <c r="Y34" s="97"/>
      <c r="Z34" s="97"/>
      <c r="AA34" s="97"/>
      <c r="AB34" s="97"/>
      <c r="AC34" s="97"/>
      <c r="AD34" s="97"/>
      <c r="AE34" s="97"/>
      <c r="AF34" s="97"/>
      <c r="AG34" s="97"/>
      <c r="AH34" s="97"/>
      <c r="AI34" s="97"/>
      <c r="AJ34" s="97"/>
      <c r="AK34" s="97"/>
      <c r="AL34" s="97"/>
      <c r="AM34" s="97"/>
      <c r="AN34" s="97"/>
      <c r="AO34" s="97"/>
      <c r="AP34" s="97"/>
      <c r="AQ34" s="97"/>
      <c r="AR34" s="97"/>
      <c r="AS34" s="97"/>
      <c r="AT34" s="97"/>
      <c r="AU34" s="97"/>
      <c r="AV34" s="97"/>
      <c r="AW34" s="97"/>
      <c r="AX34" s="97"/>
      <c r="AY34" s="97"/>
      <c r="AZ34" s="97"/>
      <c r="BA34" s="97"/>
      <c r="BB34" s="97"/>
      <c r="BC34" s="97"/>
      <c r="BD34" s="97"/>
      <c r="BE34" s="97"/>
      <c r="BF34" s="97"/>
      <c r="BG34" s="97"/>
      <c r="BH34" s="97"/>
      <c r="BI34" s="97"/>
      <c r="BJ34" s="97"/>
      <c r="BK34" s="97"/>
      <c r="BL34" s="97"/>
      <c r="BM34" s="97"/>
      <c r="BN34" s="97"/>
      <c r="BO34" s="97"/>
      <c r="BP34" s="97"/>
      <c r="BQ34" s="97"/>
      <c r="BR34" s="97"/>
      <c r="BS34" s="97"/>
      <c r="BT34" s="97"/>
      <c r="BU34" s="97"/>
    </row>
    <row r="35" spans="1:73" s="145" customFormat="1" ht="12" customHeight="1" x14ac:dyDescent="0.2">
      <c r="A35" s="97"/>
      <c r="B35" s="97"/>
      <c r="C35" s="97"/>
      <c r="D35" s="98"/>
      <c r="E35" s="100"/>
      <c r="F35" s="100"/>
      <c r="G35" s="100"/>
      <c r="H35" s="100"/>
      <c r="I35" s="100"/>
      <c r="J35" s="100"/>
      <c r="K35" s="100"/>
      <c r="L35" s="100"/>
      <c r="M35" s="100"/>
      <c r="N35" s="100"/>
      <c r="O35" s="100"/>
      <c r="P35" s="100"/>
      <c r="Q35" s="98"/>
      <c r="R35" s="98"/>
      <c r="S35" s="272" t="s">
        <v>71</v>
      </c>
      <c r="T35" s="100">
        <v>4.3</v>
      </c>
      <c r="U35" s="100" t="s">
        <v>110</v>
      </c>
      <c r="V35" s="97"/>
      <c r="W35" s="97"/>
      <c r="X35" s="97"/>
      <c r="Y35" s="97"/>
      <c r="Z35" s="97"/>
      <c r="AA35" s="97"/>
      <c r="AB35" s="97"/>
      <c r="AC35" s="97"/>
      <c r="AD35" s="97"/>
      <c r="AE35" s="97"/>
      <c r="AF35" s="97"/>
      <c r="AG35" s="97"/>
      <c r="AH35" s="97"/>
      <c r="AI35" s="97"/>
      <c r="AJ35" s="97"/>
      <c r="AK35" s="97"/>
      <c r="AL35" s="97"/>
      <c r="AM35" s="97"/>
      <c r="AN35" s="97"/>
      <c r="AO35" s="97"/>
      <c r="AP35" s="97"/>
      <c r="AQ35" s="97"/>
      <c r="AR35" s="97"/>
      <c r="AS35" s="97"/>
      <c r="AT35" s="97"/>
      <c r="AU35" s="97"/>
      <c r="AV35" s="97"/>
      <c r="AW35" s="97"/>
      <c r="AX35" s="97"/>
      <c r="AY35" s="97"/>
      <c r="AZ35" s="97"/>
      <c r="BA35" s="97"/>
      <c r="BB35" s="97"/>
      <c r="BC35" s="97"/>
      <c r="BD35" s="97"/>
      <c r="BE35" s="97"/>
      <c r="BF35" s="97"/>
      <c r="BG35" s="97"/>
      <c r="BH35" s="97"/>
      <c r="BI35" s="97"/>
      <c r="BJ35" s="97"/>
      <c r="BK35" s="97"/>
      <c r="BL35" s="97"/>
      <c r="BM35" s="97"/>
      <c r="BN35" s="97"/>
      <c r="BO35" s="97"/>
      <c r="BP35" s="97"/>
      <c r="BQ35" s="97"/>
      <c r="BR35" s="97"/>
      <c r="BS35" s="97"/>
      <c r="BT35" s="97"/>
      <c r="BU35" s="97"/>
    </row>
    <row r="36" spans="1:73" s="145" customFormat="1" ht="12" customHeight="1" x14ac:dyDescent="0.2">
      <c r="D36" s="144"/>
      <c r="E36" s="99"/>
      <c r="F36" s="99"/>
      <c r="G36" s="99"/>
      <c r="H36" s="99"/>
      <c r="I36" s="99"/>
      <c r="J36" s="99"/>
      <c r="K36" s="99"/>
      <c r="L36" s="99"/>
      <c r="M36" s="99"/>
      <c r="N36" s="99"/>
      <c r="O36" s="99"/>
      <c r="P36" s="99"/>
      <c r="Q36" s="144"/>
      <c r="R36" s="144"/>
      <c r="S36" s="279" t="s">
        <v>72</v>
      </c>
      <c r="T36" s="283">
        <f>10^(T35-6.38)</f>
        <v>8.3176377110267055E-3</v>
      </c>
      <c r="U36" s="99"/>
      <c r="AB36" s="97"/>
      <c r="AC36" s="97"/>
      <c r="AD36" s="97"/>
      <c r="AE36" s="97"/>
      <c r="AF36" s="97"/>
      <c r="AG36" s="97"/>
      <c r="AH36" s="97"/>
      <c r="AI36" s="97"/>
      <c r="AJ36" s="97"/>
      <c r="AK36" s="97"/>
      <c r="AL36" s="97"/>
      <c r="AM36" s="97"/>
      <c r="AN36" s="97"/>
      <c r="AO36" s="97"/>
      <c r="AP36" s="97"/>
      <c r="AQ36" s="97"/>
      <c r="AR36" s="97"/>
      <c r="AS36" s="97"/>
      <c r="AT36" s="97"/>
      <c r="AU36" s="97"/>
      <c r="AV36" s="97"/>
      <c r="AW36" s="97"/>
      <c r="AX36" s="97"/>
      <c r="AY36" s="97"/>
      <c r="AZ36" s="97"/>
      <c r="BA36" s="97"/>
      <c r="BB36" s="97"/>
      <c r="BC36" s="97"/>
      <c r="BD36" s="97"/>
      <c r="BE36" s="97"/>
      <c r="BF36" s="97"/>
      <c r="BG36" s="97"/>
      <c r="BH36" s="97"/>
      <c r="BI36" s="97"/>
      <c r="BJ36" s="97"/>
      <c r="BK36" s="97"/>
      <c r="BL36" s="97"/>
      <c r="BM36" s="97"/>
      <c r="BN36" s="97"/>
      <c r="BO36" s="97"/>
      <c r="BP36" s="97"/>
      <c r="BQ36" s="97"/>
      <c r="BR36" s="97"/>
      <c r="BS36" s="97"/>
      <c r="BT36" s="97"/>
      <c r="BU36" s="97"/>
    </row>
    <row r="37" spans="1:73" s="145" customFormat="1" ht="12" customHeight="1" x14ac:dyDescent="0.2">
      <c r="D37" s="144"/>
      <c r="E37" s="99"/>
      <c r="F37" s="99"/>
      <c r="G37" s="99"/>
      <c r="H37" s="99"/>
      <c r="I37" s="99"/>
      <c r="J37" s="99"/>
      <c r="K37" s="99"/>
      <c r="L37" s="99"/>
      <c r="M37" s="99"/>
      <c r="N37" s="99"/>
      <c r="O37" s="99"/>
      <c r="P37" s="99"/>
      <c r="Q37" s="144"/>
      <c r="R37" s="144"/>
      <c r="S37" s="279" t="s">
        <v>73</v>
      </c>
      <c r="T37" s="283">
        <f>10^(T35-10.33)</f>
        <v>9.3325430079699009E-7</v>
      </c>
      <c r="U37" s="99"/>
      <c r="AB37" s="97"/>
      <c r="AC37" s="97"/>
      <c r="AD37" s="97"/>
      <c r="AE37" s="97"/>
      <c r="AF37" s="97"/>
      <c r="AG37" s="97"/>
      <c r="AH37" s="97"/>
      <c r="AI37" s="97"/>
      <c r="AJ37" s="97"/>
      <c r="AK37" s="97"/>
      <c r="AL37" s="97"/>
      <c r="AM37" s="97"/>
      <c r="AN37" s="97"/>
      <c r="AO37" s="97"/>
      <c r="AP37" s="97"/>
      <c r="AQ37" s="97"/>
      <c r="AR37" s="97"/>
      <c r="AS37" s="97"/>
      <c r="AT37" s="97"/>
      <c r="AU37" s="97"/>
      <c r="AV37" s="97"/>
      <c r="AW37" s="97"/>
      <c r="AX37" s="97"/>
      <c r="AY37" s="97"/>
      <c r="AZ37" s="97"/>
      <c r="BA37" s="97"/>
      <c r="BB37" s="97"/>
      <c r="BC37" s="97"/>
      <c r="BD37" s="97"/>
      <c r="BE37" s="97"/>
      <c r="BF37" s="97"/>
      <c r="BG37" s="97"/>
      <c r="BH37" s="97"/>
      <c r="BI37" s="97"/>
      <c r="BJ37" s="97"/>
      <c r="BK37" s="97"/>
      <c r="BL37" s="97"/>
      <c r="BM37" s="97"/>
      <c r="BN37" s="97"/>
      <c r="BO37" s="97"/>
      <c r="BP37" s="97"/>
      <c r="BQ37" s="97"/>
      <c r="BR37" s="97"/>
      <c r="BS37" s="97"/>
      <c r="BT37" s="97"/>
      <c r="BU37" s="97"/>
    </row>
    <row r="38" spans="1:73" s="145" customFormat="1" ht="12" customHeight="1" x14ac:dyDescent="0.2">
      <c r="O38" s="99"/>
      <c r="P38" s="99"/>
      <c r="Q38" s="144"/>
      <c r="R38" s="144"/>
      <c r="S38" s="279" t="s">
        <v>74</v>
      </c>
      <c r="T38" s="283">
        <f>1+T36+(T36*T37)</f>
        <v>1.0083176454734979</v>
      </c>
      <c r="U38" s="99"/>
      <c r="AB38" s="97"/>
      <c r="AC38" s="97"/>
      <c r="AD38" s="97"/>
      <c r="AE38" s="97"/>
      <c r="AF38" s="97"/>
      <c r="AG38" s="97"/>
      <c r="AH38" s="97"/>
      <c r="AI38" s="97"/>
      <c r="AJ38" s="97"/>
      <c r="AK38" s="97"/>
      <c r="AL38" s="97"/>
      <c r="AM38" s="97"/>
      <c r="AN38" s="97"/>
      <c r="AO38" s="97"/>
      <c r="AP38" s="97"/>
      <c r="AQ38" s="97"/>
      <c r="AR38" s="97"/>
      <c r="AS38" s="97"/>
      <c r="AT38" s="97"/>
      <c r="AU38" s="97"/>
      <c r="AV38" s="97"/>
      <c r="AW38" s="97"/>
      <c r="AX38" s="97"/>
      <c r="AY38" s="97"/>
      <c r="AZ38" s="97"/>
      <c r="BA38" s="97"/>
      <c r="BB38" s="97"/>
      <c r="BC38" s="97"/>
      <c r="BD38" s="97"/>
      <c r="BE38" s="97"/>
      <c r="BF38" s="97"/>
      <c r="BG38" s="97"/>
      <c r="BH38" s="97"/>
      <c r="BI38" s="97"/>
      <c r="BJ38" s="97"/>
      <c r="BK38" s="97"/>
      <c r="BL38" s="97"/>
      <c r="BM38" s="97"/>
      <c r="BN38" s="97"/>
      <c r="BO38" s="97"/>
      <c r="BP38" s="97"/>
      <c r="BQ38" s="97"/>
      <c r="BR38" s="97"/>
      <c r="BS38" s="97"/>
      <c r="BT38" s="97"/>
      <c r="BU38" s="97"/>
    </row>
    <row r="39" spans="1:73" s="145" customFormat="1" ht="12" customHeight="1" x14ac:dyDescent="0.2">
      <c r="D39" s="144"/>
      <c r="E39" s="99"/>
      <c r="F39" s="99"/>
      <c r="G39" s="99"/>
      <c r="H39" s="99"/>
      <c r="I39" s="99"/>
      <c r="J39" s="99"/>
      <c r="K39" s="99"/>
      <c r="L39" s="99"/>
      <c r="M39" s="99"/>
      <c r="N39" s="99"/>
      <c r="O39" s="99"/>
      <c r="P39" s="99"/>
      <c r="Q39" s="144"/>
      <c r="R39" s="144"/>
      <c r="S39" s="279" t="s">
        <v>75</v>
      </c>
      <c r="T39" s="283">
        <f>1/T38</f>
        <v>0.9917509670580128</v>
      </c>
      <c r="U39" s="99"/>
      <c r="AB39" s="97"/>
      <c r="AC39" s="97"/>
      <c r="AD39" s="97"/>
      <c r="AE39" s="97"/>
      <c r="AF39" s="97"/>
      <c r="AG39" s="97"/>
      <c r="AH39" s="97"/>
      <c r="AI39" s="97"/>
      <c r="AJ39" s="97"/>
      <c r="AK39" s="97"/>
      <c r="AL39" s="97"/>
      <c r="AM39" s="97"/>
      <c r="AN39" s="97"/>
      <c r="AO39" s="97"/>
      <c r="AP39" s="97"/>
      <c r="AQ39" s="97"/>
      <c r="AR39" s="97"/>
      <c r="AS39" s="97"/>
      <c r="AT39" s="97"/>
      <c r="AU39" s="97"/>
      <c r="AV39" s="97"/>
      <c r="AW39" s="97"/>
      <c r="AX39" s="97"/>
      <c r="AY39" s="97"/>
      <c r="AZ39" s="97"/>
      <c r="BA39" s="97"/>
      <c r="BB39" s="97"/>
      <c r="BC39" s="97"/>
      <c r="BD39" s="97"/>
      <c r="BE39" s="97"/>
      <c r="BF39" s="97"/>
      <c r="BG39" s="97"/>
      <c r="BH39" s="97"/>
      <c r="BI39" s="97"/>
      <c r="BJ39" s="97"/>
      <c r="BK39" s="97"/>
      <c r="BL39" s="97"/>
      <c r="BM39" s="97"/>
      <c r="BN39" s="97"/>
      <c r="BO39" s="97"/>
      <c r="BP39" s="97"/>
      <c r="BQ39" s="97"/>
      <c r="BR39" s="97"/>
      <c r="BS39" s="97"/>
      <c r="BT39" s="97"/>
      <c r="BU39" s="97"/>
    </row>
    <row r="40" spans="1:73" s="145" customFormat="1" ht="12" customHeight="1" x14ac:dyDescent="0.2">
      <c r="D40" s="144"/>
      <c r="E40" s="99"/>
      <c r="F40" s="99"/>
      <c r="G40" s="99"/>
      <c r="H40" s="99"/>
      <c r="I40" s="99"/>
      <c r="J40" s="99"/>
      <c r="K40" s="99"/>
      <c r="L40" s="99"/>
      <c r="M40" s="99"/>
      <c r="N40" s="99"/>
      <c r="O40" s="99"/>
      <c r="P40" s="99"/>
      <c r="Q40" s="144"/>
      <c r="R40" s="144"/>
      <c r="S40" s="279" t="s">
        <v>76</v>
      </c>
      <c r="T40" s="283">
        <f>T36/T38</f>
        <v>8.2490252435489311E-3</v>
      </c>
      <c r="U40" s="99"/>
      <c r="AB40" s="97"/>
      <c r="AC40" s="97"/>
      <c r="AD40" s="97"/>
      <c r="AE40" s="97"/>
      <c r="AF40" s="97"/>
      <c r="AG40" s="97"/>
      <c r="AH40" s="97"/>
      <c r="AI40" s="97"/>
      <c r="AJ40" s="97"/>
      <c r="AK40" s="97"/>
      <c r="AL40" s="97"/>
      <c r="AM40" s="97"/>
      <c r="AN40" s="97"/>
      <c r="AO40" s="97"/>
      <c r="AP40" s="97"/>
      <c r="AQ40" s="97"/>
      <c r="AR40" s="97"/>
      <c r="AS40" s="97"/>
      <c r="AT40" s="97"/>
      <c r="AU40" s="97"/>
      <c r="AV40" s="97"/>
      <c r="AW40" s="97"/>
      <c r="AX40" s="97"/>
      <c r="AY40" s="97"/>
      <c r="AZ40" s="97"/>
      <c r="BA40" s="97"/>
      <c r="BB40" s="97"/>
      <c r="BC40" s="97"/>
      <c r="BD40" s="97"/>
      <c r="BE40" s="97"/>
      <c r="BF40" s="97"/>
      <c r="BG40" s="97"/>
      <c r="BH40" s="97"/>
      <c r="BI40" s="97"/>
      <c r="BJ40" s="97"/>
      <c r="BK40" s="97"/>
      <c r="BL40" s="97"/>
      <c r="BM40" s="97"/>
      <c r="BN40" s="97"/>
      <c r="BO40" s="97"/>
      <c r="BP40" s="97"/>
      <c r="BQ40" s="97"/>
      <c r="BR40" s="97"/>
      <c r="BS40" s="97"/>
      <c r="BT40" s="97"/>
      <c r="BU40" s="97"/>
    </row>
    <row r="41" spans="1:73" s="145" customFormat="1" ht="12" customHeight="1" x14ac:dyDescent="0.2">
      <c r="D41" s="144"/>
      <c r="E41" s="99"/>
      <c r="F41" s="99"/>
      <c r="G41" s="99"/>
      <c r="H41" s="99"/>
      <c r="I41" s="99"/>
      <c r="J41" s="99"/>
      <c r="K41" s="99"/>
      <c r="L41" s="99"/>
      <c r="M41" s="99"/>
      <c r="N41" s="99"/>
      <c r="O41" s="99"/>
      <c r="P41" s="99"/>
      <c r="Q41" s="144"/>
      <c r="R41" s="144"/>
      <c r="S41" s="279" t="s">
        <v>77</v>
      </c>
      <c r="T41" s="283">
        <f>(T36*T37)/T38</f>
        <v>7.6984382859249789E-9</v>
      </c>
      <c r="U41" s="99"/>
      <c r="AB41" s="97"/>
      <c r="AC41" s="97"/>
      <c r="AD41" s="97"/>
      <c r="AE41" s="97"/>
      <c r="AF41" s="97"/>
      <c r="AG41" s="97"/>
      <c r="AH41" s="97"/>
      <c r="AI41" s="97"/>
      <c r="AJ41" s="97"/>
      <c r="AK41" s="97"/>
      <c r="AL41" s="97"/>
      <c r="AM41" s="97"/>
      <c r="AN41" s="97"/>
      <c r="AO41" s="97"/>
      <c r="AP41" s="97"/>
      <c r="AQ41" s="97"/>
      <c r="AR41" s="97"/>
      <c r="AS41" s="97"/>
      <c r="AT41" s="97"/>
      <c r="AU41" s="97"/>
      <c r="AV41" s="97"/>
      <c r="AW41" s="97"/>
      <c r="AX41" s="97"/>
      <c r="AY41" s="97"/>
      <c r="AZ41" s="97"/>
      <c r="BA41" s="97"/>
      <c r="BB41" s="97"/>
      <c r="BC41" s="97"/>
      <c r="BD41" s="97"/>
      <c r="BE41" s="97"/>
      <c r="BF41" s="97"/>
      <c r="BG41" s="97"/>
      <c r="BH41" s="97"/>
      <c r="BI41" s="97"/>
      <c r="BJ41" s="97"/>
      <c r="BK41" s="97"/>
      <c r="BL41" s="97"/>
      <c r="BM41" s="97"/>
      <c r="BN41" s="97"/>
      <c r="BO41" s="97"/>
      <c r="BP41" s="97"/>
      <c r="BQ41" s="97"/>
      <c r="BR41" s="97"/>
      <c r="BS41" s="97"/>
      <c r="BT41" s="97"/>
      <c r="BU41" s="97"/>
    </row>
    <row r="42" spans="1:73" s="145" customFormat="1" ht="12" customHeight="1" x14ac:dyDescent="0.2">
      <c r="D42" s="144"/>
      <c r="E42" s="99"/>
      <c r="F42" s="99"/>
      <c r="G42" s="99"/>
      <c r="H42" s="99"/>
      <c r="I42" s="99"/>
      <c r="J42" s="99"/>
      <c r="K42" s="99"/>
      <c r="L42" s="99"/>
      <c r="M42" s="99"/>
      <c r="N42" s="99"/>
      <c r="O42" s="99"/>
      <c r="P42" s="99"/>
      <c r="Q42" s="144"/>
      <c r="R42" s="144"/>
      <c r="S42" s="279"/>
      <c r="T42" s="99"/>
      <c r="U42" s="99"/>
      <c r="AB42" s="97"/>
      <c r="AC42" s="97"/>
      <c r="AD42" s="97"/>
      <c r="AE42" s="97"/>
      <c r="AF42" s="97"/>
      <c r="AG42" s="97"/>
      <c r="AH42" s="97"/>
      <c r="AI42" s="97"/>
      <c r="AJ42" s="97"/>
      <c r="AK42" s="97"/>
      <c r="AL42" s="97"/>
      <c r="AM42" s="97"/>
      <c r="AN42" s="97"/>
      <c r="AO42" s="97"/>
      <c r="AP42" s="97"/>
      <c r="AQ42" s="97"/>
      <c r="AR42" s="97"/>
      <c r="AS42" s="97"/>
      <c r="AT42" s="97"/>
      <c r="AU42" s="97"/>
      <c r="AV42" s="97"/>
      <c r="AW42" s="97"/>
      <c r="AX42" s="97"/>
      <c r="AY42" s="97"/>
      <c r="AZ42" s="97"/>
      <c r="BA42" s="97"/>
      <c r="BB42" s="97"/>
      <c r="BC42" s="97"/>
      <c r="BD42" s="97"/>
      <c r="BE42" s="97"/>
      <c r="BF42" s="97"/>
      <c r="BG42" s="97"/>
      <c r="BH42" s="97"/>
      <c r="BI42" s="97"/>
      <c r="BJ42" s="97"/>
      <c r="BK42" s="97"/>
      <c r="BL42" s="97"/>
      <c r="BM42" s="97"/>
      <c r="BN42" s="97"/>
      <c r="BO42" s="97"/>
      <c r="BP42" s="97"/>
      <c r="BQ42" s="97"/>
      <c r="BR42" s="97"/>
      <c r="BS42" s="97"/>
      <c r="BT42" s="97"/>
      <c r="BU42" s="97"/>
    </row>
    <row r="43" spans="1:73" s="145" customFormat="1" ht="12" customHeight="1" x14ac:dyDescent="0.2">
      <c r="D43" s="144"/>
      <c r="E43" s="99"/>
      <c r="F43" s="99"/>
      <c r="G43" s="99"/>
      <c r="H43" s="99"/>
      <c r="I43" s="99"/>
      <c r="J43" s="99"/>
      <c r="K43" s="99"/>
      <c r="L43" s="99"/>
      <c r="M43" s="99"/>
      <c r="N43" s="99"/>
      <c r="O43" s="99"/>
      <c r="P43" s="99"/>
      <c r="Q43" s="144"/>
      <c r="R43" s="144"/>
      <c r="S43" s="279" t="s">
        <v>78</v>
      </c>
      <c r="T43" s="99">
        <f>(N(B9)/50)/((T39-T31)+(T33-T41))</f>
        <v>0.46804921078796363</v>
      </c>
      <c r="U43" s="99"/>
      <c r="AB43" s="97"/>
      <c r="AC43" s="97"/>
      <c r="AD43" s="97"/>
      <c r="AE43" s="97"/>
      <c r="AF43" s="97"/>
      <c r="AG43" s="97"/>
      <c r="AH43" s="97"/>
      <c r="AI43" s="97"/>
      <c r="AJ43" s="97"/>
      <c r="AK43" s="97"/>
      <c r="AL43" s="97"/>
      <c r="AM43" s="97"/>
      <c r="AN43" s="97"/>
      <c r="AO43" s="97"/>
      <c r="AP43" s="97"/>
      <c r="AQ43" s="97"/>
      <c r="AR43" s="97"/>
      <c r="AS43" s="97"/>
      <c r="AT43" s="97"/>
      <c r="AU43" s="97"/>
      <c r="AV43" s="97"/>
      <c r="AW43" s="97"/>
      <c r="AX43" s="97"/>
      <c r="AY43" s="97"/>
      <c r="AZ43" s="97"/>
      <c r="BA43" s="97"/>
      <c r="BB43" s="97"/>
      <c r="BC43" s="97"/>
      <c r="BD43" s="97"/>
      <c r="BE43" s="97"/>
      <c r="BF43" s="97"/>
      <c r="BG43" s="97"/>
      <c r="BH43" s="97"/>
      <c r="BI43" s="97"/>
      <c r="BJ43" s="97"/>
      <c r="BK43" s="97"/>
      <c r="BL43" s="97"/>
      <c r="BM43" s="97"/>
      <c r="BN43" s="97"/>
      <c r="BO43" s="97"/>
      <c r="BP43" s="97"/>
      <c r="BQ43" s="97"/>
      <c r="BR43" s="97"/>
      <c r="BS43" s="97"/>
      <c r="BT43" s="97"/>
      <c r="BU43" s="97"/>
    </row>
    <row r="44" spans="1:73" s="145" customFormat="1" ht="12" customHeight="1" x14ac:dyDescent="0.2">
      <c r="D44" s="144"/>
      <c r="E44" s="99"/>
      <c r="F44" s="99"/>
      <c r="G44" s="99"/>
      <c r="H44" s="99"/>
      <c r="I44" s="99"/>
      <c r="J44" s="99"/>
      <c r="K44" s="99"/>
      <c r="L44" s="99"/>
      <c r="M44" s="99"/>
      <c r="N44" s="99"/>
      <c r="O44" s="99"/>
      <c r="P44" s="99"/>
      <c r="Q44" s="144"/>
      <c r="R44" s="144"/>
      <c r="S44" s="279"/>
      <c r="T44" s="99"/>
      <c r="U44" s="99"/>
      <c r="AB44" s="97"/>
      <c r="AC44" s="97"/>
      <c r="AD44" s="97"/>
      <c r="AE44" s="97"/>
      <c r="AF44" s="97"/>
      <c r="AG44" s="97"/>
      <c r="AH44" s="97"/>
      <c r="AI44" s="97"/>
      <c r="AJ44" s="97"/>
      <c r="AK44" s="97"/>
      <c r="AL44" s="97"/>
      <c r="AM44" s="97"/>
      <c r="AN44" s="97"/>
      <c r="AO44" s="97"/>
      <c r="AP44" s="97"/>
      <c r="AQ44" s="97"/>
      <c r="AR44" s="97"/>
      <c r="AS44" s="97"/>
      <c r="AT44" s="97"/>
      <c r="AU44" s="97"/>
      <c r="AV44" s="97"/>
      <c r="AW44" s="97"/>
      <c r="AX44" s="97"/>
      <c r="AY44" s="97"/>
      <c r="AZ44" s="97"/>
      <c r="BA44" s="97"/>
      <c r="BB44" s="97"/>
      <c r="BC44" s="97"/>
      <c r="BD44" s="97"/>
      <c r="BE44" s="97"/>
      <c r="BF44" s="97"/>
      <c r="BG44" s="97"/>
      <c r="BH44" s="97"/>
      <c r="BI44" s="97"/>
      <c r="BJ44" s="97"/>
      <c r="BK44" s="97"/>
      <c r="BL44" s="97"/>
      <c r="BM44" s="97"/>
      <c r="BN44" s="97"/>
      <c r="BO44" s="97"/>
      <c r="BP44" s="97"/>
      <c r="BQ44" s="97"/>
      <c r="BR44" s="97"/>
      <c r="BS44" s="97"/>
      <c r="BT44" s="97"/>
      <c r="BU44" s="97"/>
    </row>
    <row r="45" spans="1:73" s="145" customFormat="1" ht="12" customHeight="1" x14ac:dyDescent="0.2">
      <c r="D45" s="144"/>
      <c r="E45" s="99"/>
      <c r="F45" s="99"/>
      <c r="G45" s="99"/>
      <c r="H45" s="99"/>
      <c r="I45" s="99"/>
      <c r="J45" s="99"/>
      <c r="K45" s="99"/>
      <c r="L45" s="99"/>
      <c r="M45" s="99"/>
      <c r="N45" s="99"/>
      <c r="O45" s="99"/>
      <c r="P45" s="99"/>
      <c r="Q45" s="144"/>
      <c r="R45" s="144"/>
      <c r="S45" s="99"/>
      <c r="T45" s="99"/>
      <c r="U45" s="99"/>
      <c r="AB45" s="97"/>
      <c r="AC45" s="97"/>
      <c r="AD45" s="97"/>
      <c r="AE45" s="97"/>
      <c r="AF45" s="97"/>
      <c r="AG45" s="97"/>
      <c r="AH45" s="97"/>
      <c r="AI45" s="97"/>
      <c r="AJ45" s="97"/>
      <c r="AK45" s="97"/>
      <c r="AL45" s="97"/>
      <c r="AM45" s="97"/>
      <c r="AN45" s="97"/>
      <c r="AO45" s="97"/>
      <c r="AP45" s="97"/>
      <c r="AQ45" s="97"/>
      <c r="AR45" s="97"/>
      <c r="AS45" s="97"/>
      <c r="AT45" s="97"/>
      <c r="AU45" s="97"/>
      <c r="AV45" s="97"/>
      <c r="AW45" s="97"/>
      <c r="AX45" s="97"/>
      <c r="AY45" s="97"/>
      <c r="AZ45" s="97"/>
      <c r="BA45" s="97"/>
      <c r="BB45" s="97"/>
      <c r="BC45" s="97"/>
      <c r="BD45" s="97"/>
      <c r="BE45" s="97"/>
      <c r="BF45" s="97"/>
      <c r="BG45" s="97"/>
      <c r="BH45" s="97"/>
      <c r="BI45" s="97"/>
      <c r="BJ45" s="97"/>
      <c r="BK45" s="97"/>
      <c r="BL45" s="97"/>
      <c r="BM45" s="97"/>
      <c r="BN45" s="97"/>
      <c r="BO45" s="97"/>
      <c r="BP45" s="97"/>
      <c r="BQ45" s="97"/>
      <c r="BR45" s="97"/>
      <c r="BS45" s="97"/>
      <c r="BT45" s="97"/>
      <c r="BU45" s="97"/>
    </row>
    <row r="46" spans="1:73" s="145" customFormat="1" ht="12" customHeight="1" x14ac:dyDescent="0.2">
      <c r="A46" s="99">
        <f>INDEX($A$47:$A$55, MATCH($B$13,$B$47:$B$55,0))</f>
        <v>4</v>
      </c>
      <c r="B46" s="394" t="s">
        <v>86</v>
      </c>
      <c r="C46" s="394" t="s">
        <v>87</v>
      </c>
      <c r="D46" s="394" t="s">
        <v>88</v>
      </c>
      <c r="E46" s="394" t="s">
        <v>89</v>
      </c>
      <c r="F46" s="394" t="s">
        <v>90</v>
      </c>
      <c r="G46" s="401" t="s">
        <v>108</v>
      </c>
      <c r="H46" s="394" t="s">
        <v>346</v>
      </c>
      <c r="I46" s="394" t="s">
        <v>347</v>
      </c>
      <c r="J46" s="394" t="s">
        <v>348</v>
      </c>
      <c r="Q46" s="144"/>
      <c r="R46" s="144"/>
      <c r="S46" s="279" t="s">
        <v>80</v>
      </c>
      <c r="T46" s="283">
        <f>10^(N(B11)-6.38)</f>
        <v>0.41686938347033548</v>
      </c>
      <c r="U46" s="99"/>
      <c r="AB46" s="97"/>
      <c r="AC46" s="97"/>
      <c r="AD46" s="97"/>
      <c r="AE46" s="97"/>
      <c r="AF46" s="97"/>
      <c r="AG46" s="97"/>
      <c r="AH46" s="97"/>
      <c r="AI46" s="97"/>
      <c r="AJ46" s="97"/>
      <c r="AK46" s="97"/>
      <c r="AL46" s="97"/>
      <c r="AM46" s="97"/>
      <c r="AN46" s="97"/>
      <c r="AO46" s="97"/>
      <c r="AP46" s="97"/>
      <c r="AQ46" s="97"/>
      <c r="AR46" s="97"/>
      <c r="AS46" s="97"/>
      <c r="AT46" s="97"/>
      <c r="AU46" s="97"/>
      <c r="AV46" s="97"/>
      <c r="AW46" s="97"/>
      <c r="AX46" s="97"/>
      <c r="AY46" s="97"/>
      <c r="AZ46" s="97"/>
      <c r="BA46" s="97"/>
      <c r="BB46" s="97"/>
      <c r="BC46" s="97"/>
      <c r="BD46" s="97"/>
      <c r="BE46" s="97"/>
      <c r="BF46" s="97"/>
      <c r="BG46" s="97"/>
      <c r="BH46" s="97"/>
      <c r="BI46" s="97"/>
      <c r="BJ46" s="97"/>
      <c r="BK46" s="97"/>
      <c r="BL46" s="97"/>
      <c r="BM46" s="97"/>
      <c r="BN46" s="97"/>
      <c r="BO46" s="97"/>
      <c r="BP46" s="97"/>
      <c r="BQ46" s="97"/>
      <c r="BR46" s="97"/>
      <c r="BS46" s="97"/>
      <c r="BT46" s="97"/>
      <c r="BU46" s="97"/>
    </row>
    <row r="47" spans="1:73" s="145" customFormat="1" ht="12" customHeight="1" x14ac:dyDescent="0.2">
      <c r="A47" s="99">
        <v>1</v>
      </c>
      <c r="B47" s="394" t="s">
        <v>91</v>
      </c>
      <c r="C47" s="393">
        <v>4.75</v>
      </c>
      <c r="D47" s="393">
        <v>20</v>
      </c>
      <c r="E47" s="393">
        <v>20</v>
      </c>
      <c r="F47" s="393">
        <v>60.05</v>
      </c>
      <c r="G47" s="393">
        <f>1000*((-7.575*10^(-10)*(F14^4))+(7.01*10^(-8)*(F14^3))+(-9.254*10^(-6)*(F14^2))+(1.575*10^(-3)*F14)+0.9979)</f>
        <v>1012.7871250000001</v>
      </c>
      <c r="H47" s="393" t="s">
        <v>349</v>
      </c>
      <c r="I47" s="393" t="s">
        <v>436</v>
      </c>
      <c r="J47" s="393" t="s">
        <v>352</v>
      </c>
      <c r="K47" s="393" t="s">
        <v>503</v>
      </c>
      <c r="L47" s="393" t="s">
        <v>350</v>
      </c>
      <c r="M47" s="390">
        <f>VLOOKUP(A58,strtable,3,FALSE)</f>
        <v>0.46029842052885411</v>
      </c>
      <c r="N47" s="390">
        <f>$B$20*0.2029</f>
        <v>9.3394549525304502E-2</v>
      </c>
      <c r="O47" s="264" t="s">
        <v>514</v>
      </c>
      <c r="P47" s="393">
        <v>59</v>
      </c>
      <c r="Q47" s="264" t="s">
        <v>575</v>
      </c>
      <c r="R47" s="264">
        <v>175</v>
      </c>
      <c r="S47" s="279" t="s">
        <v>81</v>
      </c>
      <c r="T47" s="283">
        <f>10^(N(B11)-10.33)</f>
        <v>4.6773514128719762E-5</v>
      </c>
      <c r="U47" s="99"/>
      <c r="AB47" s="97"/>
      <c r="AC47" s="97"/>
      <c r="AD47" s="97"/>
      <c r="AE47" s="97"/>
      <c r="AF47" s="97"/>
      <c r="AG47" s="97"/>
      <c r="AH47" s="97"/>
      <c r="AI47" s="97"/>
      <c r="AJ47" s="97"/>
      <c r="AK47" s="97"/>
      <c r="AL47" s="97"/>
      <c r="AM47" s="97"/>
      <c r="AN47" s="97"/>
      <c r="AO47" s="97"/>
      <c r="AP47" s="97"/>
      <c r="AQ47" s="97"/>
      <c r="AR47" s="97"/>
      <c r="AS47" s="97"/>
      <c r="AT47" s="97"/>
      <c r="AU47" s="97"/>
      <c r="AV47" s="97"/>
      <c r="AW47" s="97"/>
      <c r="AX47" s="97"/>
      <c r="AY47" s="97"/>
      <c r="AZ47" s="97"/>
      <c r="BA47" s="97"/>
      <c r="BB47" s="97"/>
      <c r="BC47" s="97"/>
      <c r="BD47" s="97"/>
      <c r="BE47" s="97"/>
      <c r="BF47" s="97"/>
      <c r="BG47" s="97"/>
      <c r="BH47" s="97"/>
      <c r="BI47" s="97"/>
      <c r="BJ47" s="97"/>
      <c r="BK47" s="97"/>
      <c r="BL47" s="97"/>
      <c r="BM47" s="97"/>
      <c r="BN47" s="97"/>
      <c r="BO47" s="97"/>
      <c r="BP47" s="97"/>
      <c r="BQ47" s="97"/>
      <c r="BR47" s="97"/>
      <c r="BS47" s="97"/>
      <c r="BT47" s="97"/>
      <c r="BU47" s="97"/>
    </row>
    <row r="48" spans="1:73" s="145" customFormat="1" ht="12" customHeight="1" x14ac:dyDescent="0.2">
      <c r="A48" s="99">
        <v>2</v>
      </c>
      <c r="B48" s="394" t="s">
        <v>93</v>
      </c>
      <c r="C48" s="393">
        <v>-7</v>
      </c>
      <c r="D48" s="393">
        <v>20</v>
      </c>
      <c r="E48" s="393">
        <v>20</v>
      </c>
      <c r="F48" s="393">
        <v>36.46</v>
      </c>
      <c r="G48" s="393">
        <f>1000*((-3.1666*10^(-7)*($F$14^3))+(1.8499*10^(-5)*($F$14^2))+(4.7666*10^(-3)*$F$14)+0.998)</f>
        <v>1047.1992400000001</v>
      </c>
      <c r="H48" s="393" t="s">
        <v>349</v>
      </c>
      <c r="I48" s="393" t="s">
        <v>436</v>
      </c>
      <c r="J48" s="393" t="s">
        <v>352</v>
      </c>
      <c r="K48" s="393" t="s">
        <v>504</v>
      </c>
      <c r="L48" s="393" t="s">
        <v>350</v>
      </c>
      <c r="M48" s="390">
        <f>VLOOKUP(A58,strtable,3,FALSE)</f>
        <v>0.46029842052885411</v>
      </c>
      <c r="N48" s="390">
        <f>$B$20*0.2029</f>
        <v>9.3394549525304502E-2</v>
      </c>
      <c r="O48" s="264" t="s">
        <v>679</v>
      </c>
      <c r="P48" s="393"/>
      <c r="Q48" s="264" t="s">
        <v>679</v>
      </c>
      <c r="R48" s="264">
        <v>1000</v>
      </c>
      <c r="S48" s="279" t="s">
        <v>82</v>
      </c>
      <c r="T48" s="283">
        <f>1+T46+(T46*T47)</f>
        <v>1.416888881916333</v>
      </c>
      <c r="U48" s="99"/>
      <c r="AB48" s="97"/>
      <c r="AC48" s="97"/>
      <c r="AD48" s="97"/>
      <c r="AE48" s="97"/>
      <c r="AF48" s="97"/>
      <c r="AG48" s="97"/>
      <c r="AH48" s="97"/>
      <c r="AI48" s="97"/>
      <c r="AJ48" s="97"/>
      <c r="AK48" s="97"/>
      <c r="AL48" s="97"/>
      <c r="AM48" s="97"/>
      <c r="AN48" s="97"/>
      <c r="AO48" s="97"/>
      <c r="AP48" s="97"/>
      <c r="AQ48" s="97"/>
      <c r="AR48" s="97"/>
      <c r="AS48" s="97"/>
      <c r="AT48" s="97"/>
      <c r="AU48" s="97"/>
      <c r="AV48" s="97"/>
      <c r="AW48" s="97"/>
      <c r="AX48" s="97"/>
      <c r="AY48" s="97"/>
      <c r="AZ48" s="97"/>
      <c r="BA48" s="97"/>
      <c r="BB48" s="97"/>
      <c r="BC48" s="97"/>
      <c r="BD48" s="97"/>
      <c r="BE48" s="97"/>
      <c r="BF48" s="97"/>
      <c r="BG48" s="97"/>
      <c r="BH48" s="97"/>
      <c r="BI48" s="97"/>
      <c r="BJ48" s="97"/>
      <c r="BK48" s="97"/>
      <c r="BL48" s="97"/>
      <c r="BM48" s="97"/>
      <c r="BN48" s="97"/>
      <c r="BO48" s="97"/>
      <c r="BP48" s="97"/>
      <c r="BQ48" s="97"/>
      <c r="BR48" s="97"/>
      <c r="BS48" s="97"/>
      <c r="BT48" s="97"/>
      <c r="BU48" s="97"/>
    </row>
    <row r="49" spans="1:73" s="145" customFormat="1" ht="12" customHeight="1" x14ac:dyDescent="0.2">
      <c r="A49" s="99">
        <v>3</v>
      </c>
      <c r="B49" s="394" t="s">
        <v>94</v>
      </c>
      <c r="C49" s="393">
        <v>3.86</v>
      </c>
      <c r="D49" s="393">
        <v>20</v>
      </c>
      <c r="E49" s="393">
        <v>20</v>
      </c>
      <c r="F49" s="393">
        <v>90.08</v>
      </c>
      <c r="G49" s="393">
        <f>1000*((-5.6193*10^(-10)*($F$14^4))+(5.115*10^(-8)*($F$14^3))+(-1.1408*10^(-6)*($F$14^2))+(2.4529*10^(-3)*$F$14)+0.998)</f>
        <v>1022.4604506999999</v>
      </c>
      <c r="H49" s="393" t="s">
        <v>349</v>
      </c>
      <c r="I49" s="393" t="s">
        <v>436</v>
      </c>
      <c r="J49" s="393" t="s">
        <v>352</v>
      </c>
      <c r="K49" s="393" t="s">
        <v>505</v>
      </c>
      <c r="L49" s="393" t="s">
        <v>350</v>
      </c>
      <c r="M49" s="390">
        <f>VLOOKUP(A58,strtable,3,FALSE)</f>
        <v>0.46029842052885411</v>
      </c>
      <c r="N49" s="390">
        <f>$B$20*0.2029</f>
        <v>9.3394549525304502E-2</v>
      </c>
      <c r="O49" s="264" t="s">
        <v>515</v>
      </c>
      <c r="P49" s="393">
        <v>89</v>
      </c>
      <c r="Q49" s="264" t="s">
        <v>576</v>
      </c>
      <c r="R49" s="264">
        <v>400</v>
      </c>
      <c r="S49" s="279" t="s">
        <v>83</v>
      </c>
      <c r="T49" s="283">
        <f>1/T48</f>
        <v>0.70577164713686402</v>
      </c>
      <c r="U49" s="99"/>
      <c r="AB49" s="97"/>
      <c r="AC49" s="97"/>
      <c r="AD49" s="97"/>
      <c r="AE49" s="97"/>
      <c r="AF49" s="97"/>
      <c r="AG49" s="97"/>
      <c r="AH49" s="97"/>
      <c r="AI49" s="97"/>
      <c r="AJ49" s="97"/>
      <c r="AK49" s="97"/>
      <c r="AL49" s="97"/>
      <c r="AM49" s="97"/>
      <c r="AN49" s="97"/>
      <c r="AO49" s="97"/>
      <c r="AP49" s="97"/>
      <c r="AQ49" s="97"/>
      <c r="AR49" s="97"/>
      <c r="AS49" s="97"/>
      <c r="AT49" s="97"/>
      <c r="AU49" s="97"/>
      <c r="AV49" s="97"/>
      <c r="AW49" s="97"/>
      <c r="AX49" s="97"/>
      <c r="AY49" s="97"/>
      <c r="AZ49" s="97"/>
      <c r="BA49" s="97"/>
      <c r="BB49" s="97"/>
      <c r="BC49" s="97"/>
      <c r="BD49" s="97"/>
      <c r="BE49" s="97"/>
      <c r="BF49" s="97"/>
      <c r="BG49" s="97"/>
      <c r="BH49" s="97"/>
      <c r="BI49" s="97"/>
      <c r="BJ49" s="97"/>
      <c r="BK49" s="97"/>
      <c r="BL49" s="97"/>
      <c r="BM49" s="97"/>
      <c r="BN49" s="97"/>
      <c r="BO49" s="97"/>
      <c r="BP49" s="97"/>
      <c r="BQ49" s="97"/>
      <c r="BR49" s="97"/>
      <c r="BS49" s="97"/>
      <c r="BT49" s="97"/>
      <c r="BU49" s="97"/>
    </row>
    <row r="50" spans="1:73" s="145" customFormat="1" ht="12" customHeight="1" x14ac:dyDescent="0.2">
      <c r="A50" s="99">
        <v>4</v>
      </c>
      <c r="B50" s="394" t="s">
        <v>95</v>
      </c>
      <c r="C50" s="393">
        <v>2.12</v>
      </c>
      <c r="D50" s="393">
        <v>7.2</v>
      </c>
      <c r="E50" s="393">
        <v>12.44</v>
      </c>
      <c r="F50" s="393">
        <v>98</v>
      </c>
      <c r="G50" s="393">
        <f>1000*((-3.9523*10^(-9)*($F$14^4))+(6.8571*10^(-7)*($F$14^3))+(5.4475*10^(-7)*($F$14^2))+(5.51368*10^(-3)*$F$14)+0.99778)</f>
        <v>1053.6174620000002</v>
      </c>
      <c r="H50" s="393" t="s">
        <v>349</v>
      </c>
      <c r="I50" s="393" t="s">
        <v>436</v>
      </c>
      <c r="J50" s="393" t="s">
        <v>352</v>
      </c>
      <c r="K50" s="393" t="s">
        <v>506</v>
      </c>
      <c r="L50" s="393" t="s">
        <v>350</v>
      </c>
      <c r="M50" s="390">
        <f>VLOOKUP(A58,strtable,3,FALSE)</f>
        <v>0.46029842052885411</v>
      </c>
      <c r="N50" s="390">
        <f>$B$20*0.2029</f>
        <v>9.3394549525304502E-2</v>
      </c>
      <c r="O50" s="264" t="s">
        <v>516</v>
      </c>
      <c r="P50" s="393">
        <v>95</v>
      </c>
      <c r="Q50" s="264" t="s">
        <v>577</v>
      </c>
      <c r="R50" s="264">
        <v>1000</v>
      </c>
      <c r="S50" s="279" t="s">
        <v>84</v>
      </c>
      <c r="T50" s="283">
        <f>T46/T48</f>
        <v>0.29421459141278766</v>
      </c>
      <c r="U50" s="99"/>
      <c r="AB50" s="97"/>
      <c r="AC50" s="97"/>
      <c r="AD50" s="97"/>
      <c r="AE50" s="97"/>
      <c r="AF50" s="97"/>
      <c r="AG50" s="97"/>
      <c r="AH50" s="97"/>
      <c r="AI50" s="97"/>
      <c r="AJ50" s="97"/>
      <c r="AK50" s="97"/>
      <c r="AL50" s="97"/>
      <c r="AM50" s="97"/>
      <c r="AN50" s="97"/>
      <c r="AO50" s="97"/>
      <c r="AP50" s="97"/>
      <c r="AQ50" s="97"/>
      <c r="AR50" s="97"/>
      <c r="AS50" s="97"/>
      <c r="AT50" s="97"/>
      <c r="AU50" s="97"/>
      <c r="AV50" s="97"/>
      <c r="AW50" s="97"/>
      <c r="AX50" s="97"/>
      <c r="AY50" s="97"/>
      <c r="AZ50" s="97"/>
      <c r="BA50" s="97"/>
      <c r="BB50" s="97"/>
      <c r="BC50" s="97"/>
      <c r="BD50" s="97"/>
      <c r="BE50" s="97"/>
      <c r="BF50" s="97"/>
      <c r="BG50" s="97"/>
      <c r="BH50" s="97"/>
      <c r="BI50" s="97"/>
      <c r="BJ50" s="97"/>
      <c r="BK50" s="97"/>
      <c r="BL50" s="97"/>
      <c r="BM50" s="97"/>
      <c r="BN50" s="97"/>
      <c r="BO50" s="97"/>
      <c r="BP50" s="97"/>
      <c r="BQ50" s="97"/>
      <c r="BR50" s="97"/>
      <c r="BS50" s="97"/>
      <c r="BT50" s="97"/>
      <c r="BU50" s="97"/>
    </row>
    <row r="51" spans="1:73" s="145" customFormat="1" ht="12" customHeight="1" x14ac:dyDescent="0.2">
      <c r="A51" s="99">
        <v>5</v>
      </c>
      <c r="B51" s="394" t="s">
        <v>96</v>
      </c>
      <c r="C51" s="393">
        <v>-1</v>
      </c>
      <c r="D51" s="393">
        <v>1.92</v>
      </c>
      <c r="E51" s="393">
        <v>20</v>
      </c>
      <c r="F51" s="393">
        <v>98.07</v>
      </c>
      <c r="G51" s="393">
        <f>1000*((-2.0911*10^(-8)*($F$14^4))+(3.4312*10^(-6)*($F$14^3))+(-1.3954*10^(-4)*($F$14^2))+(9.0885*10^(-3)*$F$14)+0.9947)</f>
        <v>1074.8530900000001</v>
      </c>
      <c r="H51" s="393" t="s">
        <v>349</v>
      </c>
      <c r="I51" s="393" t="s">
        <v>436</v>
      </c>
      <c r="J51" s="393" t="s">
        <v>352</v>
      </c>
      <c r="K51" s="393" t="s">
        <v>507</v>
      </c>
      <c r="L51" s="393" t="s">
        <v>350</v>
      </c>
      <c r="M51" s="390">
        <f>VLOOKUP(A58,strtable,3,FALSE)</f>
        <v>0.46029842052885411</v>
      </c>
      <c r="N51" s="390">
        <f>$B$20*0.2029</f>
        <v>9.3394549525304502E-2</v>
      </c>
      <c r="O51" s="264" t="s">
        <v>679</v>
      </c>
      <c r="P51" s="393"/>
      <c r="Q51" s="264" t="s">
        <v>679</v>
      </c>
      <c r="R51" s="264">
        <v>1000</v>
      </c>
      <c r="S51" s="279" t="s">
        <v>85</v>
      </c>
      <c r="T51" s="283">
        <f>(T46*T47)/T48</f>
        <v>1.3761450348321536E-5</v>
      </c>
      <c r="U51" s="99"/>
      <c r="AB51" s="97"/>
      <c r="AC51" s="97"/>
      <c r="AD51" s="97"/>
      <c r="AE51" s="97"/>
      <c r="AF51" s="97"/>
      <c r="AG51" s="97"/>
      <c r="AH51" s="97"/>
      <c r="AI51" s="97"/>
      <c r="AJ51" s="97"/>
      <c r="AK51" s="97"/>
      <c r="AL51" s="97"/>
      <c r="AM51" s="97"/>
      <c r="AN51" s="97"/>
      <c r="AO51" s="97"/>
      <c r="AP51" s="97"/>
      <c r="AQ51" s="97"/>
      <c r="AR51" s="97"/>
      <c r="AS51" s="97"/>
      <c r="AT51" s="97"/>
      <c r="AU51" s="97"/>
      <c r="AV51" s="97"/>
      <c r="AW51" s="97"/>
      <c r="AX51" s="97"/>
      <c r="AY51" s="97"/>
      <c r="AZ51" s="97"/>
      <c r="BA51" s="97"/>
      <c r="BB51" s="97"/>
      <c r="BC51" s="97"/>
      <c r="BD51" s="97"/>
      <c r="BE51" s="97"/>
      <c r="BF51" s="97"/>
      <c r="BG51" s="97"/>
      <c r="BH51" s="97"/>
      <c r="BI51" s="97"/>
      <c r="BJ51" s="97"/>
      <c r="BK51" s="97"/>
      <c r="BL51" s="97"/>
      <c r="BM51" s="97"/>
      <c r="BN51" s="97"/>
      <c r="BO51" s="97"/>
      <c r="BP51" s="97"/>
      <c r="BQ51" s="97"/>
      <c r="BR51" s="97"/>
      <c r="BS51" s="97"/>
      <c r="BT51" s="97"/>
      <c r="BU51" s="97"/>
    </row>
    <row r="52" spans="1:73" s="145" customFormat="1" ht="12" customHeight="1" x14ac:dyDescent="0.2">
      <c r="A52" s="99">
        <v>6</v>
      </c>
      <c r="B52" s="394" t="s">
        <v>92</v>
      </c>
      <c r="C52" s="393">
        <v>3.14</v>
      </c>
      <c r="D52" s="393">
        <v>4.7699999999999996</v>
      </c>
      <c r="E52" s="393">
        <v>6.39</v>
      </c>
      <c r="F52" s="393">
        <v>192.13</v>
      </c>
      <c r="G52" s="393">
        <v>1480</v>
      </c>
      <c r="H52" s="393" t="s">
        <v>285</v>
      </c>
      <c r="I52" s="393" t="s">
        <v>437</v>
      </c>
      <c r="J52" s="393" t="s">
        <v>354</v>
      </c>
      <c r="K52" s="393" t="s">
        <v>508</v>
      </c>
      <c r="L52" s="393" t="s">
        <v>351</v>
      </c>
      <c r="M52" s="390">
        <f>(mM_required*F56*N(B12)*J63)/1000</f>
        <v>4.849784536002201E-2</v>
      </c>
      <c r="N52" s="390">
        <f>$B$20/1000</f>
        <v>4.6029842052885413E-4</v>
      </c>
      <c r="O52" s="264" t="s">
        <v>517</v>
      </c>
      <c r="P52" s="393">
        <v>189</v>
      </c>
      <c r="Q52" s="264" t="s">
        <v>578</v>
      </c>
      <c r="R52" s="264">
        <v>150</v>
      </c>
      <c r="S52" s="279"/>
      <c r="T52" s="99"/>
      <c r="U52" s="99"/>
      <c r="AB52" s="97"/>
      <c r="AC52" s="97"/>
      <c r="AD52" s="97"/>
      <c r="AE52" s="97"/>
      <c r="AF52" s="97"/>
      <c r="AG52" s="97"/>
      <c r="AH52" s="97"/>
      <c r="AI52" s="97"/>
      <c r="AJ52" s="97"/>
      <c r="AK52" s="97"/>
      <c r="AL52" s="97"/>
      <c r="AM52" s="97"/>
      <c r="AN52" s="97"/>
      <c r="AO52" s="97"/>
      <c r="AP52" s="97"/>
      <c r="AQ52" s="97"/>
      <c r="AR52" s="97"/>
      <c r="AS52" s="97"/>
      <c r="AT52" s="97"/>
      <c r="AU52" s="97"/>
      <c r="AV52" s="97"/>
      <c r="AW52" s="97"/>
      <c r="AX52" s="97"/>
      <c r="AY52" s="97"/>
      <c r="AZ52" s="97"/>
      <c r="BA52" s="97"/>
      <c r="BB52" s="97"/>
      <c r="BC52" s="97"/>
      <c r="BD52" s="97"/>
      <c r="BE52" s="97"/>
      <c r="BF52" s="97"/>
      <c r="BG52" s="97"/>
      <c r="BH52" s="97"/>
      <c r="BI52" s="97"/>
      <c r="BJ52" s="97"/>
      <c r="BK52" s="97"/>
      <c r="BL52" s="97"/>
      <c r="BM52" s="97"/>
      <c r="BN52" s="97"/>
      <c r="BO52" s="97"/>
      <c r="BP52" s="97"/>
      <c r="BQ52" s="97"/>
      <c r="BR52" s="97"/>
      <c r="BS52" s="97"/>
      <c r="BT52" s="97"/>
      <c r="BU52" s="97"/>
    </row>
    <row r="53" spans="1:73" s="145" customFormat="1" ht="12" customHeight="1" x14ac:dyDescent="0.2">
      <c r="A53" s="99">
        <v>7</v>
      </c>
      <c r="B53" s="394" t="s">
        <v>97</v>
      </c>
      <c r="C53" s="393">
        <v>2.98</v>
      </c>
      <c r="D53" s="393">
        <v>4.34</v>
      </c>
      <c r="E53" s="393">
        <v>20</v>
      </c>
      <c r="F53" s="393">
        <v>150.09</v>
      </c>
      <c r="G53" s="393">
        <v>1000</v>
      </c>
      <c r="H53" s="393" t="s">
        <v>285</v>
      </c>
      <c r="I53" s="393" t="s">
        <v>437</v>
      </c>
      <c r="J53" s="393" t="s">
        <v>354</v>
      </c>
      <c r="K53" s="393" t="s">
        <v>509</v>
      </c>
      <c r="L53" s="393" t="s">
        <v>351</v>
      </c>
      <c r="M53" s="390">
        <f>(mM_required*F56*N(B12)*J63)/1000</f>
        <v>4.849784536002201E-2</v>
      </c>
      <c r="N53" s="390">
        <f>$B$20/1000</f>
        <v>4.6029842052885413E-4</v>
      </c>
      <c r="O53" s="264" t="s">
        <v>518</v>
      </c>
      <c r="P53" s="393">
        <v>148</v>
      </c>
      <c r="Q53" s="264" t="s">
        <v>579</v>
      </c>
      <c r="R53" s="264">
        <v>600</v>
      </c>
      <c r="S53" s="279" t="s">
        <v>79</v>
      </c>
      <c r="T53" s="99">
        <f>IF(B15=100,0,(1-(B15/100))*T43*((T49-T31)+(T33-T51))+10^(-N(B11))-10^(-N(B10))+0.01)</f>
        <v>0.13848939233234148</v>
      </c>
      <c r="U53" s="99" t="s">
        <v>109</v>
      </c>
      <c r="AB53" s="97"/>
      <c r="AC53" s="97"/>
      <c r="AD53" s="97"/>
      <c r="AE53" s="97"/>
      <c r="AF53" s="97"/>
      <c r="AG53" s="97"/>
      <c r="AH53" s="97"/>
      <c r="AI53" s="97"/>
      <c r="AJ53" s="97"/>
      <c r="AK53" s="97"/>
      <c r="AL53" s="97"/>
      <c r="AM53" s="97"/>
      <c r="AN53" s="97"/>
      <c r="AO53" s="97"/>
      <c r="AP53" s="97"/>
      <c r="AQ53" s="97"/>
      <c r="AR53" s="97"/>
      <c r="AS53" s="97"/>
      <c r="AT53" s="97"/>
      <c r="AU53" s="97"/>
      <c r="AV53" s="97"/>
      <c r="AW53" s="97"/>
      <c r="AX53" s="97"/>
      <c r="AY53" s="97"/>
      <c r="AZ53" s="97"/>
      <c r="BA53" s="97"/>
      <c r="BB53" s="97"/>
      <c r="BC53" s="97"/>
      <c r="BD53" s="97"/>
      <c r="BE53" s="97"/>
      <c r="BF53" s="97"/>
      <c r="BG53" s="97"/>
      <c r="BH53" s="97"/>
      <c r="BI53" s="97"/>
      <c r="BJ53" s="97"/>
      <c r="BK53" s="97"/>
      <c r="BL53" s="97"/>
      <c r="BM53" s="97"/>
      <c r="BN53" s="97"/>
      <c r="BO53" s="97"/>
      <c r="BP53" s="97"/>
      <c r="BQ53" s="97"/>
      <c r="BR53" s="97"/>
      <c r="BS53" s="97"/>
      <c r="BT53" s="97"/>
      <c r="BU53" s="97"/>
    </row>
    <row r="54" spans="1:73" s="145" customFormat="1" ht="12" customHeight="1" x14ac:dyDescent="0.2">
      <c r="A54" s="99">
        <v>8</v>
      </c>
      <c r="B54" s="394" t="s">
        <v>37</v>
      </c>
      <c r="C54" s="393">
        <v>3.4</v>
      </c>
      <c r="D54" s="393">
        <v>5.2</v>
      </c>
      <c r="E54" s="393">
        <v>20</v>
      </c>
      <c r="F54" s="393">
        <v>134.09</v>
      </c>
      <c r="G54" s="393">
        <v>1609</v>
      </c>
      <c r="H54" s="393" t="s">
        <v>285</v>
      </c>
      <c r="I54" s="393" t="s">
        <v>437</v>
      </c>
      <c r="J54" s="393" t="s">
        <v>354</v>
      </c>
      <c r="K54" s="393" t="s">
        <v>510</v>
      </c>
      <c r="L54" s="393" t="s">
        <v>351</v>
      </c>
      <c r="M54" s="390">
        <f>(mM_required*F56*N(B12)*J63)/1000</f>
        <v>4.849784536002201E-2</v>
      </c>
      <c r="N54" s="390">
        <f>$B$20/1000</f>
        <v>4.6029842052885413E-4</v>
      </c>
      <c r="O54" s="264" t="s">
        <v>519</v>
      </c>
      <c r="P54" s="393">
        <v>132</v>
      </c>
      <c r="Q54" s="264" t="s">
        <v>580</v>
      </c>
      <c r="R54" s="264">
        <v>100</v>
      </c>
      <c r="S54" s="279" t="s">
        <v>513</v>
      </c>
      <c r="T54" s="99">
        <f>IF(B15=0,0,(B15/100)*T43*((T49-T31)+(T33-T51))+10^(-N(B11))-10^(-N(B10))+0.01)</f>
        <v>0</v>
      </c>
      <c r="U54" s="99" t="s">
        <v>109</v>
      </c>
      <c r="AB54" s="97"/>
      <c r="AC54" s="97"/>
      <c r="AD54" s="97"/>
      <c r="AE54" s="97"/>
      <c r="AF54" s="97"/>
      <c r="AG54" s="97"/>
      <c r="AH54" s="97"/>
      <c r="AI54" s="97"/>
      <c r="AJ54" s="97"/>
      <c r="AK54" s="97"/>
      <c r="AL54" s="97"/>
      <c r="AM54" s="97"/>
      <c r="AN54" s="97"/>
      <c r="AO54" s="97"/>
      <c r="AP54" s="97"/>
      <c r="AQ54" s="97"/>
      <c r="AR54" s="97"/>
      <c r="AS54" s="97"/>
      <c r="AT54" s="97"/>
      <c r="AU54" s="97"/>
      <c r="AV54" s="97"/>
      <c r="AW54" s="97"/>
      <c r="AX54" s="97"/>
      <c r="AY54" s="97"/>
      <c r="AZ54" s="97"/>
      <c r="BA54" s="97"/>
      <c r="BB54" s="97"/>
      <c r="BC54" s="97"/>
      <c r="BD54" s="97"/>
      <c r="BE54" s="97"/>
      <c r="BF54" s="97"/>
      <c r="BG54" s="97"/>
      <c r="BH54" s="97"/>
      <c r="BI54" s="97"/>
      <c r="BJ54" s="97"/>
      <c r="BK54" s="97"/>
      <c r="BL54" s="97"/>
      <c r="BM54" s="97"/>
      <c r="BN54" s="97"/>
      <c r="BO54" s="97"/>
      <c r="BP54" s="97"/>
      <c r="BQ54" s="97"/>
      <c r="BR54" s="97"/>
      <c r="BS54" s="97"/>
      <c r="BT54" s="97"/>
      <c r="BU54" s="97"/>
    </row>
    <row r="55" spans="1:73" s="145" customFormat="1" ht="12" customHeight="1" x14ac:dyDescent="0.2">
      <c r="A55" s="99">
        <v>9</v>
      </c>
      <c r="B55" s="394" t="s">
        <v>438</v>
      </c>
      <c r="C55" s="393">
        <v>1</v>
      </c>
      <c r="D55" s="393">
        <v>1</v>
      </c>
      <c r="E55" s="393">
        <v>1</v>
      </c>
      <c r="F55" s="393">
        <v>1</v>
      </c>
      <c r="G55" s="393">
        <v>1</v>
      </c>
      <c r="H55" s="393" t="s">
        <v>349</v>
      </c>
      <c r="I55" s="393" t="s">
        <v>436</v>
      </c>
      <c r="J55" s="393" t="s">
        <v>352</v>
      </c>
      <c r="K55" s="393" t="s">
        <v>511</v>
      </c>
      <c r="L55" s="393" t="s">
        <v>350</v>
      </c>
      <c r="M55" s="390">
        <f>VLOOKUP(A58,strtable,3,FALSE)</f>
        <v>0.46029842052885411</v>
      </c>
      <c r="N55" s="390">
        <f>$B$20*0.2029</f>
        <v>9.3394549525304502E-2</v>
      </c>
      <c r="O55" s="264" t="s">
        <v>679</v>
      </c>
      <c r="P55" s="393"/>
      <c r="Q55" s="393" t="s">
        <v>679</v>
      </c>
      <c r="R55" s="264">
        <v>1000</v>
      </c>
      <c r="S55" s="279"/>
      <c r="T55" s="99"/>
      <c r="U55" s="99"/>
      <c r="AB55" s="97"/>
      <c r="AC55" s="97"/>
      <c r="AD55" s="97"/>
      <c r="AE55" s="97"/>
      <c r="AF55" s="97"/>
      <c r="AG55" s="97"/>
      <c r="AH55" s="97"/>
      <c r="AI55" s="97"/>
      <c r="AJ55" s="97"/>
      <c r="AK55" s="97"/>
      <c r="AL55" s="97"/>
      <c r="AM55" s="97"/>
      <c r="AN55" s="97"/>
      <c r="AO55" s="97"/>
      <c r="AP55" s="97"/>
      <c r="AQ55" s="97"/>
      <c r="AR55" s="97"/>
      <c r="AS55" s="97"/>
      <c r="AT55" s="97"/>
      <c r="AU55" s="97"/>
      <c r="AV55" s="97"/>
      <c r="AW55" s="97"/>
      <c r="AX55" s="97"/>
      <c r="AY55" s="97"/>
      <c r="AZ55" s="97"/>
      <c r="BA55" s="97"/>
      <c r="BB55" s="97"/>
      <c r="BC55" s="97"/>
      <c r="BD55" s="97"/>
      <c r="BE55" s="97"/>
      <c r="BF55" s="97"/>
      <c r="BG55" s="97"/>
      <c r="BH55" s="97"/>
      <c r="BI55" s="97"/>
      <c r="BJ55" s="97"/>
      <c r="BK55" s="97"/>
      <c r="BL55" s="97"/>
      <c r="BM55" s="97"/>
      <c r="BN55" s="97"/>
      <c r="BO55" s="97"/>
      <c r="BP55" s="97"/>
      <c r="BQ55" s="97"/>
      <c r="BR55" s="97"/>
      <c r="BS55" s="97"/>
      <c r="BT55" s="97"/>
      <c r="BU55" s="97"/>
    </row>
    <row r="56" spans="1:73" s="145" customFormat="1" ht="12" customHeight="1" x14ac:dyDescent="0.2">
      <c r="A56" s="99"/>
      <c r="B56" s="393" t="str">
        <f>VLOOKUP($A$46,table,2,FALSE)</f>
        <v>Phosphoric</v>
      </c>
      <c r="C56" s="393">
        <f>VLOOKUP($A$46,table,3,FALSE)</f>
        <v>2.12</v>
      </c>
      <c r="D56" s="393">
        <f>VLOOKUP($A$46,table,4,FALSE)</f>
        <v>7.2</v>
      </c>
      <c r="E56" s="393">
        <f>VLOOKUP($A$46,table,5,FALSE)</f>
        <v>12.44</v>
      </c>
      <c r="F56" s="393">
        <f>VLOOKUP($A$46,table,6,FALSE)</f>
        <v>98</v>
      </c>
      <c r="G56" s="393">
        <f>VLOOKUP($A$46,table,7,FALSE)</f>
        <v>1053.6174620000002</v>
      </c>
      <c r="H56" s="393" t="str">
        <f>VLOOKUP($A$46,table,8,FALSE)</f>
        <v>(ml)</v>
      </c>
      <c r="I56" s="393" t="str">
        <f>VLOOKUP($A$46,table,9,FALSE)</f>
        <v>(tsp)</v>
      </c>
      <c r="J56" s="393" t="str">
        <f>VLOOKUP($A$46,table,10,FALSE)</f>
        <v>Addition        (mL/gal)</v>
      </c>
      <c r="K56" s="393" t="str">
        <f>VLOOKUP($A$46,table,11,FALSE)</f>
        <v>Phosphoric Acid Required =</v>
      </c>
      <c r="L56" s="393" t="str">
        <f>VLOOKUP($A$46,table,12,FALSE)</f>
        <v>Total Acid Addition (ml)</v>
      </c>
      <c r="M56" s="393">
        <f>VLOOKUP($A$46,table,13,FALSE)</f>
        <v>0.46029842052885411</v>
      </c>
      <c r="N56" s="393">
        <f>VLOOKUP($A$46,table,14,FALSE)</f>
        <v>9.3394549525304502E-2</v>
      </c>
      <c r="O56" s="393" t="str">
        <f>VLOOKUP($A$46,table,15,FALSE)</f>
        <v>Phosphate Added to Water =</v>
      </c>
      <c r="P56" s="393">
        <f>VLOOKUP($A$46,table,16,FALSE)</f>
        <v>95</v>
      </c>
      <c r="Q56" s="393" t="str">
        <f>VLOOKUP($A$46,table,17,FALSE)</f>
        <v>(ppm) Phosphate added to water</v>
      </c>
      <c r="R56" s="264">
        <f>VLOOKUP($A$46,table,18,FALSE)</f>
        <v>1000</v>
      </c>
      <c r="S56" s="99"/>
      <c r="T56" s="99"/>
      <c r="U56" s="99"/>
      <c r="AB56" s="97"/>
      <c r="AC56" s="97"/>
      <c r="AD56" s="97"/>
      <c r="AE56" s="97"/>
      <c r="AF56" s="97"/>
      <c r="AG56" s="97"/>
      <c r="AH56" s="97"/>
      <c r="AI56" s="97"/>
      <c r="AJ56" s="97"/>
      <c r="AK56" s="97"/>
      <c r="AL56" s="97"/>
      <c r="AM56" s="97"/>
      <c r="AN56" s="97"/>
      <c r="AO56" s="97"/>
      <c r="AP56" s="97"/>
      <c r="AQ56" s="97"/>
      <c r="AR56" s="97"/>
      <c r="AS56" s="97"/>
      <c r="AT56" s="97"/>
      <c r="AU56" s="97"/>
      <c r="AV56" s="97"/>
      <c r="AW56" s="97"/>
      <c r="AX56" s="97"/>
      <c r="AY56" s="97"/>
      <c r="AZ56" s="97"/>
      <c r="BA56" s="97"/>
      <c r="BB56" s="97"/>
      <c r="BC56" s="97"/>
      <c r="BD56" s="97"/>
      <c r="BE56" s="97"/>
      <c r="BF56" s="97"/>
      <c r="BG56" s="97"/>
      <c r="BH56" s="97"/>
      <c r="BI56" s="97"/>
      <c r="BJ56" s="97"/>
      <c r="BK56" s="97"/>
      <c r="BL56" s="97"/>
      <c r="BM56" s="97"/>
      <c r="BN56" s="97"/>
      <c r="BO56" s="97"/>
      <c r="BP56" s="97"/>
      <c r="BQ56" s="97"/>
      <c r="BR56" s="97"/>
      <c r="BS56" s="97"/>
      <c r="BT56" s="97"/>
      <c r="BU56" s="97"/>
    </row>
    <row r="57" spans="1:73" s="145" customFormat="1" ht="12" customHeight="1" x14ac:dyDescent="0.2">
      <c r="A57" s="99"/>
      <c r="B57" s="99"/>
      <c r="C57" s="99"/>
      <c r="D57" s="99"/>
      <c r="E57" s="99"/>
      <c r="F57" s="99"/>
      <c r="G57" s="99"/>
      <c r="O57" s="264">
        <f>mM_required*$F$56*N($B$12)*J63</f>
        <v>48.497845360022012</v>
      </c>
      <c r="P57" s="393" t="s">
        <v>442</v>
      </c>
      <c r="Q57" s="144"/>
      <c r="R57" s="144"/>
      <c r="S57" s="99"/>
      <c r="T57" s="99"/>
      <c r="U57" s="99"/>
      <c r="AB57" s="97"/>
      <c r="AC57" s="97"/>
      <c r="AD57" s="97"/>
      <c r="AE57" s="97"/>
      <c r="AF57" s="97"/>
      <c r="AG57" s="97"/>
      <c r="AH57" s="97"/>
      <c r="AI57" s="97"/>
      <c r="AJ57" s="97"/>
      <c r="AK57" s="97"/>
      <c r="AL57" s="97"/>
      <c r="AM57" s="97"/>
      <c r="AN57" s="97"/>
      <c r="AO57" s="97"/>
      <c r="AP57" s="97"/>
      <c r="AQ57" s="97"/>
      <c r="AR57" s="97"/>
      <c r="AS57" s="97"/>
      <c r="AT57" s="97"/>
      <c r="AU57" s="97"/>
      <c r="AV57" s="97"/>
      <c r="AW57" s="97"/>
      <c r="AX57" s="97"/>
      <c r="AY57" s="97"/>
      <c r="AZ57" s="97"/>
      <c r="BA57" s="97"/>
      <c r="BB57" s="97"/>
      <c r="BC57" s="97"/>
      <c r="BD57" s="97"/>
      <c r="BE57" s="97"/>
      <c r="BF57" s="97"/>
      <c r="BG57" s="97"/>
      <c r="BH57" s="97"/>
      <c r="BI57" s="97"/>
      <c r="BJ57" s="97"/>
      <c r="BK57" s="97"/>
      <c r="BL57" s="97"/>
      <c r="BM57" s="97"/>
      <c r="BN57" s="97"/>
      <c r="BO57" s="97"/>
      <c r="BP57" s="97"/>
      <c r="BQ57" s="97"/>
      <c r="BR57" s="97"/>
      <c r="BS57" s="97"/>
      <c r="BT57" s="97"/>
      <c r="BU57" s="97"/>
    </row>
    <row r="58" spans="1:73" s="145" customFormat="1" ht="12" customHeight="1" x14ac:dyDescent="0.2">
      <c r="A58" s="99">
        <f>INDEX($A$59:$A$62, MATCH(C14,$B$59:$B$62,0))</f>
        <v>1</v>
      </c>
      <c r="B58" s="99"/>
      <c r="C58" s="99"/>
      <c r="D58" s="279" t="s">
        <v>439</v>
      </c>
      <c r="E58" s="279" t="s">
        <v>440</v>
      </c>
      <c r="F58" s="99"/>
      <c r="G58" s="99"/>
      <c r="Q58" s="144"/>
      <c r="R58" s="144"/>
      <c r="S58" s="279"/>
      <c r="T58" s="99"/>
      <c r="U58" s="99"/>
      <c r="AB58" s="97"/>
      <c r="AC58" s="97"/>
      <c r="AD58" s="97"/>
      <c r="AE58" s="97"/>
      <c r="AF58" s="97"/>
      <c r="AG58" s="97"/>
      <c r="AH58" s="97"/>
      <c r="AI58" s="97"/>
      <c r="AJ58" s="97"/>
      <c r="AK58" s="97"/>
      <c r="AL58" s="97"/>
      <c r="AM58" s="97"/>
      <c r="AN58" s="97"/>
      <c r="AO58" s="97"/>
      <c r="AP58" s="97"/>
      <c r="AQ58" s="97"/>
      <c r="AR58" s="97"/>
      <c r="AS58" s="97"/>
      <c r="AT58" s="97"/>
      <c r="AU58" s="97"/>
      <c r="AV58" s="97"/>
      <c r="AW58" s="97"/>
      <c r="AX58" s="97"/>
      <c r="AY58" s="97"/>
      <c r="AZ58" s="97"/>
      <c r="BA58" s="97"/>
      <c r="BB58" s="97"/>
      <c r="BC58" s="97"/>
      <c r="BD58" s="97"/>
      <c r="BE58" s="97"/>
      <c r="BF58" s="97"/>
      <c r="BG58" s="97"/>
      <c r="BH58" s="97"/>
      <c r="BI58" s="97"/>
      <c r="BJ58" s="97"/>
      <c r="BK58" s="97"/>
      <c r="BL58" s="97"/>
      <c r="BM58" s="97"/>
      <c r="BN58" s="97"/>
      <c r="BO58" s="97"/>
      <c r="BP58" s="97"/>
      <c r="BQ58" s="97"/>
      <c r="BR58" s="97"/>
      <c r="BS58" s="97"/>
      <c r="BT58" s="97"/>
      <c r="BU58" s="97"/>
    </row>
    <row r="59" spans="1:73" s="145" customFormat="1" ht="12" customHeight="1" x14ac:dyDescent="0.2">
      <c r="A59" s="99">
        <v>1</v>
      </c>
      <c r="B59" s="394" t="s">
        <v>200</v>
      </c>
      <c r="C59" s="402">
        <f>IF($A$46=9,(Acid_Required/3.657)*J63*N(B12),(((O57)/((N(F14)/100)*((VLOOKUP($A$46,table,7,FALSE)))))))</f>
        <v>0.46029842052885411</v>
      </c>
      <c r="D59" s="395">
        <f>IF($A$46=9,(C59*88.57)/($J$63*$B$12),mM_required*96)</f>
        <v>12.551675934979951</v>
      </c>
      <c r="E59" s="395">
        <f>IF($A$46=9,(C59*64)/($J$63*$B$12),mM_required*35.5)</f>
        <v>4.6415051634561273</v>
      </c>
      <c r="F59" s="99"/>
      <c r="G59" s="99"/>
      <c r="H59" s="403">
        <v>1</v>
      </c>
      <c r="I59" s="403" t="s">
        <v>392</v>
      </c>
      <c r="J59" s="403">
        <v>3.7850000000000001</v>
      </c>
      <c r="L59" s="403">
        <f>IF($B$7="distilled water",('4. Water Adjustment'!C$123*($B$8/100))+('1. Water Report Input'!B6*(1-($B$8/100))),IF($B$7="ro water",('4. Water Adjustment'!C$126*($B$8/100))+('1. Water Report Input'!B6*(1-($B$8/100))),'1. Water Report Input'!B6))</f>
        <v>0</v>
      </c>
      <c r="M59" s="403" t="s">
        <v>539</v>
      </c>
      <c r="Q59" s="144"/>
      <c r="R59" s="144"/>
      <c r="S59" s="279" t="s">
        <v>98</v>
      </c>
      <c r="T59" s="283">
        <f>10^(N(B11)-C56)</f>
        <v>7585.7757502918394</v>
      </c>
      <c r="U59" s="99"/>
      <c r="AB59" s="97"/>
      <c r="AC59" s="97"/>
      <c r="AD59" s="97"/>
      <c r="AE59" s="97"/>
      <c r="AF59" s="97"/>
      <c r="AG59" s="97"/>
      <c r="AH59" s="97"/>
      <c r="AI59" s="97"/>
      <c r="AJ59" s="97"/>
      <c r="AK59" s="97"/>
      <c r="AL59" s="97"/>
      <c r="AM59" s="97"/>
      <c r="AN59" s="97"/>
      <c r="AO59" s="97"/>
      <c r="AP59" s="97"/>
      <c r="AQ59" s="97"/>
      <c r="AR59" s="97"/>
      <c r="AS59" s="97"/>
      <c r="AT59" s="97"/>
      <c r="AU59" s="97"/>
      <c r="AV59" s="97"/>
      <c r="AW59" s="97"/>
      <c r="AX59" s="97"/>
      <c r="AY59" s="97"/>
      <c r="AZ59" s="97"/>
      <c r="BA59" s="97"/>
      <c r="BB59" s="97"/>
      <c r="BC59" s="97"/>
      <c r="BD59" s="97"/>
      <c r="BE59" s="97"/>
      <c r="BF59" s="97"/>
      <c r="BG59" s="97"/>
      <c r="BH59" s="97"/>
      <c r="BI59" s="97"/>
      <c r="BJ59" s="97"/>
      <c r="BK59" s="97"/>
      <c r="BL59" s="97"/>
      <c r="BM59" s="97"/>
      <c r="BN59" s="97"/>
      <c r="BO59" s="97"/>
      <c r="BP59" s="97"/>
      <c r="BQ59" s="97"/>
      <c r="BR59" s="97"/>
      <c r="BS59" s="97"/>
      <c r="BT59" s="97"/>
      <c r="BU59" s="97"/>
    </row>
    <row r="60" spans="1:73" s="145" customFormat="1" ht="12" customHeight="1" x14ac:dyDescent="0.2">
      <c r="A60" s="99">
        <v>2</v>
      </c>
      <c r="B60" s="394" t="s">
        <v>112</v>
      </c>
      <c r="C60" s="404">
        <f>IF($A$46=9,(Acid_Required/3.657)*J63*N(B12),(Acid_Required/F14)*(N(B12)*J63))</f>
        <v>5.2418234997791253E-2</v>
      </c>
      <c r="D60" s="395">
        <f>IF($A$46=9,(C60*88.57)/($J$63*$B$12),mM_required*96)</f>
        <v>12.551675934979951</v>
      </c>
      <c r="E60" s="395">
        <f>IF($A$46=9,(C60*64)/($J$63*$B$12),mM_required*35.5)</f>
        <v>4.6415051634561273</v>
      </c>
      <c r="F60" s="99"/>
      <c r="G60" s="99"/>
      <c r="H60" s="403">
        <v>2</v>
      </c>
      <c r="I60" s="403" t="s">
        <v>271</v>
      </c>
      <c r="J60" s="403">
        <v>1</v>
      </c>
      <c r="L60" s="403">
        <f>IF($B$7="distilled water",('4. Water Adjustment'!D$123*($B$8/100))+('1. Water Report Input'!B7*(1-($B$8/100))),IF($B$7="ro water",('4. Water Adjustment'!D$126*($B$8/100))+('1. Water Report Input'!B7*(1-($B$8/100))),'1. Water Report Input'!B7))</f>
        <v>0</v>
      </c>
      <c r="M60" s="403" t="s">
        <v>442</v>
      </c>
      <c r="Q60" s="144"/>
      <c r="R60" s="144"/>
      <c r="S60" s="279" t="s">
        <v>99</v>
      </c>
      <c r="T60" s="283">
        <f>10^(N(B11)-D56)</f>
        <v>6.3095734448019289E-2</v>
      </c>
      <c r="U60" s="99"/>
      <c r="AB60" s="97"/>
      <c r="AC60" s="97"/>
      <c r="AD60" s="97"/>
      <c r="AE60" s="97"/>
      <c r="AF60" s="97"/>
      <c r="AG60" s="97"/>
      <c r="AH60" s="97"/>
      <c r="AI60" s="97"/>
      <c r="AJ60" s="97"/>
      <c r="AK60" s="97"/>
      <c r="AL60" s="97"/>
      <c r="AM60" s="97"/>
      <c r="AN60" s="97"/>
      <c r="AO60" s="97"/>
      <c r="AP60" s="97"/>
      <c r="AQ60" s="97"/>
      <c r="AR60" s="97"/>
      <c r="AS60" s="97"/>
      <c r="AT60" s="97"/>
      <c r="AU60" s="97"/>
      <c r="AV60" s="97"/>
      <c r="AW60" s="97"/>
      <c r="AX60" s="97"/>
      <c r="AY60" s="97"/>
      <c r="AZ60" s="97"/>
      <c r="BA60" s="97"/>
      <c r="BB60" s="97"/>
      <c r="BC60" s="97"/>
      <c r="BD60" s="97"/>
      <c r="BE60" s="97"/>
      <c r="BF60" s="97"/>
      <c r="BG60" s="97"/>
      <c r="BH60" s="97"/>
      <c r="BI60" s="97"/>
      <c r="BJ60" s="97"/>
      <c r="BK60" s="97"/>
      <c r="BL60" s="97"/>
      <c r="BM60" s="97"/>
      <c r="BN60" s="97"/>
      <c r="BO60" s="97"/>
      <c r="BP60" s="97"/>
      <c r="BQ60" s="97"/>
      <c r="BR60" s="97"/>
      <c r="BS60" s="97"/>
      <c r="BT60" s="97"/>
      <c r="BU60" s="97"/>
    </row>
    <row r="61" spans="1:73" s="145" customFormat="1" ht="12" customHeight="1" x14ac:dyDescent="0.2">
      <c r="A61" s="99">
        <v>3</v>
      </c>
      <c r="B61" s="394" t="s">
        <v>201</v>
      </c>
      <c r="C61" s="404">
        <f>IF($A$46=9,(Acid_Required/3.657)*J63*N(B12),(Acid_Required/F14)*(N(B12)*J63)/frac)</f>
        <v>4.9487597306144916E-2</v>
      </c>
      <c r="D61" s="395">
        <f>IF($A$46=9,(C61*88.57)/($J$63*$B$12),mM_required*96)</f>
        <v>12.551675934979951</v>
      </c>
      <c r="E61" s="395">
        <f>IF($A$46=9,(C61*64)/($J$63*$B$12),mM_required*35.5)</f>
        <v>4.6415051634561273</v>
      </c>
      <c r="F61" s="99"/>
      <c r="G61" s="99"/>
      <c r="H61" s="403">
        <v>3</v>
      </c>
      <c r="I61" s="403" t="s">
        <v>393</v>
      </c>
      <c r="J61" s="403">
        <v>117.33499999999999</v>
      </c>
      <c r="L61" s="403">
        <f>IF($B$7="distilled water",('4. Water Adjustment'!E$123*($B$8/100))+('1. Water Report Input'!B8*(1-($B$8/100))),IF($B$7="ro water",('4. Water Adjustment'!E$126*($B$8/100))+('1. Water Report Input'!B8*(1-($B$8/100))),'1. Water Report Input'!B8))</f>
        <v>0</v>
      </c>
      <c r="M61" s="403" t="s">
        <v>538</v>
      </c>
      <c r="Q61" s="144"/>
      <c r="R61" s="144"/>
      <c r="S61" s="279" t="s">
        <v>100</v>
      </c>
      <c r="T61" s="283">
        <f>10^(N(B11)-E56)</f>
        <v>3.630780547701011E-7</v>
      </c>
      <c r="U61" s="99"/>
      <c r="AB61" s="97"/>
      <c r="AC61" s="97"/>
      <c r="AD61" s="97"/>
      <c r="AE61" s="97"/>
      <c r="AF61" s="97"/>
      <c r="AG61" s="97"/>
      <c r="AH61" s="97"/>
      <c r="AI61" s="97"/>
      <c r="AJ61" s="97"/>
      <c r="AK61" s="97"/>
      <c r="AL61" s="97"/>
      <c r="AM61" s="97"/>
      <c r="AN61" s="97"/>
      <c r="AO61" s="97"/>
      <c r="AP61" s="97"/>
      <c r="AQ61" s="97"/>
      <c r="AR61" s="97"/>
      <c r="AS61" s="97"/>
      <c r="AT61" s="97"/>
      <c r="AU61" s="97"/>
      <c r="AV61" s="97"/>
      <c r="AW61" s="97"/>
      <c r="AX61" s="97"/>
      <c r="AY61" s="97"/>
      <c r="AZ61" s="97"/>
      <c r="BA61" s="97"/>
      <c r="BB61" s="97"/>
      <c r="BC61" s="97"/>
      <c r="BD61" s="97"/>
      <c r="BE61" s="97"/>
      <c r="BF61" s="97"/>
      <c r="BG61" s="97"/>
      <c r="BH61" s="97"/>
      <c r="BI61" s="97"/>
      <c r="BJ61" s="97"/>
      <c r="BK61" s="97"/>
      <c r="BL61" s="97"/>
      <c r="BM61" s="97"/>
      <c r="BN61" s="97"/>
      <c r="BO61" s="97"/>
      <c r="BP61" s="97"/>
      <c r="BQ61" s="97"/>
      <c r="BR61" s="97"/>
      <c r="BS61" s="97"/>
      <c r="BT61" s="97"/>
      <c r="BU61" s="97"/>
    </row>
    <row r="62" spans="1:73" s="145" customFormat="1" ht="12" customHeight="1" x14ac:dyDescent="0.2">
      <c r="A62" s="403">
        <v>4</v>
      </c>
      <c r="B62" s="394" t="s">
        <v>353</v>
      </c>
      <c r="D62" s="144"/>
      <c r="E62" s="99"/>
      <c r="F62" s="99"/>
      <c r="G62" s="99"/>
      <c r="H62" s="99">
        <v>4</v>
      </c>
      <c r="I62" s="99" t="s">
        <v>394</v>
      </c>
      <c r="J62" s="99">
        <v>100</v>
      </c>
      <c r="K62" s="99"/>
      <c r="L62" s="403">
        <f>IF($B$7="distilled water",('4. Water Adjustment'!H$123*($B$8/100))+((B5*1.22)*(1-($B$8/100))),IF($B$7="ro water",('4. Water Adjustment'!H$126*($B$8/100))+((B5*1.22)*(1-($B$8/100))),B5*1.22))</f>
        <v>0</v>
      </c>
      <c r="M62" s="403" t="s">
        <v>444</v>
      </c>
      <c r="N62" s="99"/>
      <c r="O62" s="99"/>
      <c r="P62" s="99"/>
      <c r="Q62" s="144"/>
      <c r="R62" s="144"/>
      <c r="S62" s="279" t="s">
        <v>101</v>
      </c>
      <c r="T62" s="283">
        <f>1/(1+T59+(T59*T60)+(T59*T60*T61))</f>
        <v>1.2398631860160528E-4</v>
      </c>
      <c r="U62" s="99"/>
      <c r="AB62" s="97"/>
      <c r="AC62" s="97"/>
      <c r="AD62" s="97"/>
      <c r="AE62" s="97"/>
      <c r="AF62" s="97"/>
      <c r="AG62" s="97"/>
      <c r="AH62" s="97"/>
      <c r="AI62" s="97"/>
      <c r="AJ62" s="97"/>
      <c r="AK62" s="97"/>
      <c r="AL62" s="97"/>
      <c r="AM62" s="97"/>
      <c r="AN62" s="97"/>
      <c r="AO62" s="97"/>
      <c r="AP62" s="97"/>
      <c r="AQ62" s="97"/>
      <c r="AR62" s="97"/>
      <c r="AS62" s="97"/>
      <c r="AT62" s="97"/>
      <c r="AU62" s="97"/>
      <c r="AV62" s="97"/>
      <c r="AW62" s="97"/>
      <c r="AX62" s="97"/>
      <c r="AY62" s="97"/>
      <c r="AZ62" s="97"/>
      <c r="BA62" s="97"/>
      <c r="BB62" s="97"/>
      <c r="BC62" s="97"/>
      <c r="BD62" s="97"/>
      <c r="BE62" s="97"/>
      <c r="BF62" s="97"/>
      <c r="BG62" s="97"/>
      <c r="BH62" s="97"/>
      <c r="BI62" s="97"/>
      <c r="BJ62" s="97"/>
      <c r="BK62" s="97"/>
      <c r="BL62" s="97"/>
      <c r="BM62" s="97"/>
      <c r="BN62" s="97"/>
      <c r="BO62" s="97"/>
      <c r="BP62" s="97"/>
      <c r="BQ62" s="97"/>
      <c r="BR62" s="97"/>
      <c r="BS62" s="97"/>
      <c r="BT62" s="97"/>
      <c r="BU62" s="97"/>
    </row>
    <row r="63" spans="1:73" s="145" customFormat="1" ht="12" customHeight="1" x14ac:dyDescent="0.2">
      <c r="A63" s="403"/>
      <c r="B63" s="393" t="str">
        <f>VLOOKUP($A$58,strtable,2,FALSE)</f>
        <v>%</v>
      </c>
      <c r="D63" s="144"/>
      <c r="E63" s="99"/>
      <c r="F63" s="99"/>
      <c r="G63" s="99"/>
      <c r="H63" s="265">
        <f>VLOOKUP('1. Water Report Input'!$H$7,sprgvaritable,1,FALSE)</f>
        <v>1</v>
      </c>
      <c r="I63" s="266" t="str">
        <f>VLOOKUP('1. Water Report Input'!$H$7,sprgvaritable,2,FALSE)</f>
        <v>Gallons</v>
      </c>
      <c r="J63" s="265">
        <f>VLOOKUP('1. Water Report Input'!$H$7,sprgvaritable,3,FALSE)</f>
        <v>3.7850000000000001</v>
      </c>
      <c r="K63" s="99"/>
      <c r="L63" s="403">
        <f>IF($B$7="distilled water",('4. Water Adjustment'!F$123*($B$8/100))+('1. Water Report Input'!C8*(1-($B$8/100))),IF($B$7="ro water",('4. Water Adjustment'!F$126*($B$8/100))+('1. Water Report Input'!C8*(1-($B$8/100))),'1. Water Report Input'!C8))</f>
        <v>0</v>
      </c>
      <c r="M63" s="403" t="s">
        <v>439</v>
      </c>
      <c r="N63" s="99"/>
      <c r="O63" s="99"/>
      <c r="P63" s="99"/>
      <c r="Q63" s="144"/>
      <c r="R63" s="144"/>
      <c r="S63" s="279" t="s">
        <v>102</v>
      </c>
      <c r="T63" s="283">
        <f>T62</f>
        <v>1.2398631860160528E-4</v>
      </c>
      <c r="U63" s="99"/>
      <c r="AB63" s="97"/>
      <c r="AC63" s="97"/>
      <c r="AD63" s="97"/>
      <c r="AE63" s="97"/>
      <c r="AF63" s="97"/>
      <c r="AG63" s="97"/>
      <c r="AH63" s="97"/>
      <c r="AI63" s="97"/>
      <c r="AJ63" s="97"/>
      <c r="AK63" s="97"/>
      <c r="AL63" s="97"/>
      <c r="AM63" s="97"/>
      <c r="AN63" s="97"/>
      <c r="AO63" s="97"/>
      <c r="AP63" s="97"/>
      <c r="AQ63" s="97"/>
      <c r="AR63" s="97"/>
      <c r="AS63" s="97"/>
      <c r="AT63" s="97"/>
      <c r="AU63" s="97"/>
      <c r="AV63" s="97"/>
      <c r="AW63" s="97"/>
      <c r="AX63" s="97"/>
      <c r="AY63" s="97"/>
      <c r="AZ63" s="97"/>
      <c r="BA63" s="97"/>
      <c r="BB63" s="97"/>
      <c r="BC63" s="97"/>
      <c r="BD63" s="97"/>
      <c r="BE63" s="97"/>
      <c r="BF63" s="97"/>
      <c r="BG63" s="97"/>
      <c r="BH63" s="97"/>
      <c r="BI63" s="97"/>
      <c r="BJ63" s="97"/>
      <c r="BK63" s="97"/>
      <c r="BL63" s="97"/>
      <c r="BM63" s="97"/>
      <c r="BN63" s="97"/>
      <c r="BO63" s="97"/>
      <c r="BP63" s="97"/>
      <c r="BQ63" s="97"/>
      <c r="BR63" s="97"/>
      <c r="BS63" s="97"/>
      <c r="BT63" s="97"/>
      <c r="BU63" s="97"/>
    </row>
    <row r="64" spans="1:73" s="145" customFormat="1" ht="12" customHeight="1" x14ac:dyDescent="0.2">
      <c r="A64" s="403"/>
      <c r="B64" s="403"/>
      <c r="D64" s="144"/>
      <c r="E64" s="99"/>
      <c r="F64" s="99"/>
      <c r="G64" s="99"/>
      <c r="H64" s="99"/>
      <c r="I64" s="99"/>
      <c r="J64" s="99"/>
      <c r="K64" s="99"/>
      <c r="L64" s="403">
        <f>IF($B$7="distilled water",('4. Water Adjustment'!G$123*($B$8/100))+('1. Water Report Input'!C9*(1-($B$8/100))),IF($B$7="ro water",('4. Water Adjustment'!G$126*($B$8/100))+('1. Water Report Input'!C9*(1-($B$8/100))),'1. Water Report Input'!C9))</f>
        <v>0</v>
      </c>
      <c r="M64" s="403" t="s">
        <v>440</v>
      </c>
      <c r="N64" s="99"/>
      <c r="O64" s="99"/>
      <c r="P64" s="99"/>
      <c r="Q64" s="144"/>
      <c r="R64" s="144"/>
      <c r="S64" s="279" t="s">
        <v>103</v>
      </c>
      <c r="T64" s="283">
        <f>T62*T59</f>
        <v>0.94053240901601531</v>
      </c>
      <c r="U64" s="99"/>
      <c r="AB64" s="97"/>
      <c r="AC64" s="97"/>
      <c r="AD64" s="97"/>
      <c r="AE64" s="97"/>
      <c r="AF64" s="97"/>
      <c r="AG64" s="97"/>
      <c r="AH64" s="97"/>
      <c r="AI64" s="97"/>
      <c r="AJ64" s="97"/>
      <c r="AK64" s="97"/>
      <c r="AL64" s="97"/>
      <c r="AM64" s="97"/>
      <c r="AN64" s="97"/>
      <c r="AO64" s="97"/>
      <c r="AP64" s="97"/>
      <c r="AQ64" s="97"/>
      <c r="AR64" s="97"/>
      <c r="AS64" s="97"/>
      <c r="AT64" s="97"/>
      <c r="AU64" s="97"/>
      <c r="AV64" s="97"/>
      <c r="AW64" s="97"/>
      <c r="AX64" s="97"/>
      <c r="AY64" s="97"/>
      <c r="AZ64" s="97"/>
      <c r="BA64" s="97"/>
      <c r="BB64" s="97"/>
      <c r="BC64" s="97"/>
      <c r="BD64" s="97"/>
      <c r="BE64" s="97"/>
      <c r="BF64" s="97"/>
      <c r="BG64" s="97"/>
      <c r="BH64" s="97"/>
      <c r="BI64" s="97"/>
      <c r="BJ64" s="97"/>
      <c r="BK64" s="97"/>
      <c r="BL64" s="97"/>
      <c r="BM64" s="97"/>
      <c r="BN64" s="97"/>
      <c r="BO64" s="97"/>
      <c r="BP64" s="97"/>
      <c r="BQ64" s="97"/>
      <c r="BR64" s="97"/>
      <c r="BS64" s="97"/>
      <c r="BT64" s="97"/>
      <c r="BU64" s="97"/>
    </row>
    <row r="65" spans="1:73" s="145" customFormat="1" ht="12" customHeight="1" x14ac:dyDescent="0.2">
      <c r="A65" s="403"/>
      <c r="B65" s="403"/>
      <c r="D65" s="144"/>
      <c r="E65" s="99"/>
      <c r="F65" s="99"/>
      <c r="G65" s="99"/>
      <c r="H65" s="99"/>
      <c r="I65" s="99"/>
      <c r="J65" s="99"/>
      <c r="K65" s="99"/>
      <c r="L65" s="403"/>
      <c r="M65" s="403"/>
      <c r="N65" s="99"/>
      <c r="O65" s="99"/>
      <c r="P65" s="99"/>
      <c r="Q65" s="144"/>
      <c r="R65" s="144"/>
      <c r="S65" s="279" t="s">
        <v>104</v>
      </c>
      <c r="T65" s="283">
        <f>T59*T60*T62</f>
        <v>5.9343583119030367E-2</v>
      </c>
      <c r="U65" s="99"/>
      <c r="AB65" s="97"/>
      <c r="AC65" s="97"/>
      <c r="AD65" s="97"/>
      <c r="AE65" s="97"/>
      <c r="AF65" s="97"/>
      <c r="AG65" s="97"/>
      <c r="AH65" s="97"/>
      <c r="AI65" s="97"/>
      <c r="AJ65" s="97"/>
      <c r="AK65" s="97"/>
      <c r="AL65" s="97"/>
      <c r="AM65" s="97"/>
      <c r="AN65" s="97"/>
      <c r="AO65" s="97"/>
      <c r="AP65" s="97"/>
      <c r="AQ65" s="97"/>
      <c r="AR65" s="97"/>
      <c r="AS65" s="97"/>
      <c r="AT65" s="97"/>
      <c r="AU65" s="97"/>
      <c r="AV65" s="97"/>
      <c r="AW65" s="97"/>
      <c r="AX65" s="97"/>
      <c r="AY65" s="97"/>
      <c r="AZ65" s="97"/>
      <c r="BA65" s="97"/>
      <c r="BB65" s="97"/>
      <c r="BC65" s="97"/>
      <c r="BD65" s="97"/>
      <c r="BE65" s="97"/>
      <c r="BF65" s="97"/>
      <c r="BG65" s="97"/>
      <c r="BH65" s="97"/>
      <c r="BI65" s="97"/>
      <c r="BJ65" s="97"/>
      <c r="BK65" s="97"/>
      <c r="BL65" s="97"/>
      <c r="BM65" s="97"/>
      <c r="BN65" s="97"/>
      <c r="BO65" s="97"/>
      <c r="BP65" s="97"/>
      <c r="BQ65" s="97"/>
      <c r="BR65" s="97"/>
      <c r="BS65" s="97"/>
      <c r="BT65" s="97"/>
      <c r="BU65" s="97"/>
    </row>
    <row r="66" spans="1:73" s="145" customFormat="1" ht="12" customHeight="1" x14ac:dyDescent="0.2">
      <c r="A66" s="403"/>
      <c r="B66" s="403"/>
      <c r="D66" s="144"/>
      <c r="E66" s="99"/>
      <c r="F66" s="99"/>
      <c r="G66" s="99"/>
      <c r="H66" s="99"/>
      <c r="I66" s="99"/>
      <c r="J66" s="99"/>
      <c r="K66" s="99"/>
      <c r="L66" s="99"/>
      <c r="M66" s="99"/>
      <c r="N66" s="99"/>
      <c r="O66" s="99"/>
      <c r="P66" s="99"/>
      <c r="Q66" s="144"/>
      <c r="R66" s="144"/>
      <c r="S66" s="279" t="s">
        <v>105</v>
      </c>
      <c r="T66" s="283">
        <f>T59*T60*T61*T62</f>
        <v>2.1546352721945355E-8</v>
      </c>
      <c r="U66" s="99"/>
      <c r="AB66" s="97"/>
      <c r="AC66" s="97"/>
      <c r="AD66" s="97"/>
      <c r="AE66" s="97"/>
      <c r="AF66" s="97"/>
      <c r="AG66" s="97"/>
      <c r="AH66" s="97"/>
      <c r="AI66" s="97"/>
      <c r="AJ66" s="97"/>
      <c r="AK66" s="97"/>
      <c r="AL66" s="97"/>
      <c r="AM66" s="97"/>
      <c r="AN66" s="97"/>
      <c r="AO66" s="97"/>
      <c r="AP66" s="97"/>
      <c r="AQ66" s="97"/>
      <c r="AR66" s="97"/>
      <c r="AS66" s="97"/>
      <c r="AT66" s="97"/>
      <c r="AU66" s="97"/>
      <c r="AV66" s="97"/>
      <c r="AW66" s="97"/>
      <c r="AX66" s="97"/>
      <c r="AY66" s="97"/>
      <c r="AZ66" s="97"/>
      <c r="BA66" s="97"/>
      <c r="BB66" s="97"/>
      <c r="BC66" s="97"/>
      <c r="BD66" s="97"/>
      <c r="BE66" s="97"/>
      <c r="BF66" s="97"/>
      <c r="BG66" s="97"/>
      <c r="BH66" s="97"/>
      <c r="BI66" s="97"/>
      <c r="BJ66" s="97"/>
      <c r="BK66" s="97"/>
      <c r="BL66" s="97"/>
      <c r="BM66" s="97"/>
      <c r="BN66" s="97"/>
      <c r="BO66" s="97"/>
      <c r="BP66" s="97"/>
      <c r="BQ66" s="97"/>
      <c r="BR66" s="97"/>
      <c r="BS66" s="97"/>
      <c r="BT66" s="97"/>
      <c r="BU66" s="97"/>
    </row>
    <row r="67" spans="1:73" s="145" customFormat="1" ht="12" customHeight="1" x14ac:dyDescent="0.2">
      <c r="A67" s="403"/>
      <c r="B67" s="403"/>
      <c r="D67" s="144"/>
      <c r="E67" s="99"/>
      <c r="F67" s="99"/>
      <c r="G67" s="99"/>
      <c r="H67" s="99"/>
      <c r="I67" s="99"/>
      <c r="J67" s="99"/>
      <c r="K67" s="99"/>
      <c r="L67" s="99"/>
      <c r="M67" s="99"/>
      <c r="N67" s="99"/>
      <c r="O67" s="99"/>
      <c r="P67" s="99"/>
      <c r="Q67" s="144"/>
      <c r="R67" s="144"/>
      <c r="S67" s="279" t="s">
        <v>106</v>
      </c>
      <c r="T67" s="283">
        <f>T64+(2*T65)+(3*T66)</f>
        <v>1.0592196398931342</v>
      </c>
      <c r="U67" s="99" t="s">
        <v>443</v>
      </c>
      <c r="AB67" s="97"/>
      <c r="AC67" s="97"/>
      <c r="AD67" s="97"/>
      <c r="AE67" s="97"/>
      <c r="AF67" s="97"/>
      <c r="AG67" s="97"/>
      <c r="AH67" s="97"/>
      <c r="AI67" s="97"/>
      <c r="AJ67" s="97"/>
      <c r="AK67" s="97"/>
      <c r="AL67" s="97"/>
      <c r="AM67" s="97"/>
      <c r="AN67" s="97"/>
      <c r="AO67" s="97"/>
      <c r="AP67" s="97"/>
      <c r="AQ67" s="97"/>
      <c r="AR67" s="97"/>
      <c r="AS67" s="97"/>
      <c r="AT67" s="97"/>
      <c r="AU67" s="97"/>
      <c r="AV67" s="97"/>
      <c r="AW67" s="97"/>
      <c r="AX67" s="97"/>
      <c r="AY67" s="97"/>
      <c r="AZ67" s="97"/>
      <c r="BA67" s="97"/>
      <c r="BB67" s="97"/>
      <c r="BC67" s="97"/>
      <c r="BD67" s="97"/>
      <c r="BE67" s="97"/>
      <c r="BF67" s="97"/>
      <c r="BG67" s="97"/>
      <c r="BH67" s="97"/>
      <c r="BI67" s="97"/>
      <c r="BJ67" s="97"/>
      <c r="BK67" s="97"/>
      <c r="BL67" s="97"/>
      <c r="BM67" s="97"/>
      <c r="BN67" s="97"/>
      <c r="BO67" s="97"/>
      <c r="BP67" s="97"/>
      <c r="BQ67" s="97"/>
      <c r="BR67" s="97"/>
      <c r="BS67" s="97"/>
      <c r="BT67" s="97"/>
      <c r="BU67" s="97"/>
    </row>
    <row r="68" spans="1:73" s="145" customFormat="1" ht="12" customHeight="1" x14ac:dyDescent="0.2">
      <c r="A68" s="403">
        <v>1</v>
      </c>
      <c r="B68" s="403" t="s">
        <v>359</v>
      </c>
      <c r="D68" s="144"/>
      <c r="E68" s="99"/>
      <c r="F68" s="99"/>
      <c r="G68" s="99"/>
      <c r="H68" s="99"/>
      <c r="I68" s="99"/>
      <c r="J68" s="99"/>
      <c r="K68" s="99"/>
      <c r="L68" s="99"/>
      <c r="M68" s="99"/>
      <c r="N68" s="99"/>
      <c r="O68" s="99"/>
      <c r="P68" s="99"/>
      <c r="Q68" s="144"/>
      <c r="R68" s="144"/>
      <c r="S68" s="99"/>
      <c r="T68" s="99"/>
      <c r="U68" s="99"/>
      <c r="AB68" s="97"/>
      <c r="AC68" s="97"/>
      <c r="AD68" s="97"/>
      <c r="AE68" s="97"/>
      <c r="AF68" s="97"/>
      <c r="AG68" s="97"/>
      <c r="AH68" s="97"/>
      <c r="AI68" s="97"/>
      <c r="AJ68" s="97"/>
      <c r="AK68" s="97"/>
      <c r="AL68" s="97"/>
      <c r="AM68" s="97"/>
      <c r="AN68" s="97"/>
      <c r="AO68" s="97"/>
      <c r="AP68" s="97"/>
      <c r="AQ68" s="97"/>
      <c r="AR68" s="97"/>
      <c r="AS68" s="97"/>
      <c r="AT68" s="97"/>
      <c r="AU68" s="97"/>
      <c r="AV68" s="97"/>
      <c r="AW68" s="97"/>
      <c r="AX68" s="97"/>
      <c r="AY68" s="97"/>
      <c r="AZ68" s="97"/>
      <c r="BA68" s="97"/>
      <c r="BB68" s="97"/>
      <c r="BC68" s="97"/>
      <c r="BD68" s="97"/>
      <c r="BE68" s="97"/>
      <c r="BF68" s="97"/>
      <c r="BG68" s="97"/>
      <c r="BH68" s="97"/>
      <c r="BI68" s="97"/>
      <c r="BJ68" s="97"/>
      <c r="BK68" s="97"/>
      <c r="BL68" s="97"/>
      <c r="BM68" s="97"/>
      <c r="BN68" s="97"/>
      <c r="BO68" s="97"/>
      <c r="BP68" s="97"/>
      <c r="BQ68" s="97"/>
      <c r="BR68" s="97"/>
      <c r="BS68" s="97"/>
      <c r="BT68" s="97"/>
      <c r="BU68" s="97"/>
    </row>
    <row r="69" spans="1:73" s="145" customFormat="1" ht="12" customHeight="1" x14ac:dyDescent="0.2">
      <c r="A69" s="403">
        <v>2</v>
      </c>
      <c r="B69" s="403" t="str">
        <f>'4. Water Adjustment'!B123</f>
        <v>Distilled Water</v>
      </c>
      <c r="D69" s="144"/>
      <c r="E69" s="99"/>
      <c r="F69" s="99"/>
      <c r="G69" s="99"/>
      <c r="H69" s="99"/>
      <c r="I69" s="99"/>
      <c r="J69" s="99"/>
      <c r="K69" s="99"/>
      <c r="L69" s="99"/>
      <c r="M69" s="99"/>
      <c r="N69" s="99"/>
      <c r="O69" s="99"/>
      <c r="P69" s="99"/>
      <c r="Q69" s="144"/>
      <c r="R69" s="144"/>
      <c r="S69" s="279" t="s">
        <v>107</v>
      </c>
      <c r="T69" s="402">
        <f>Acid_Required/frac</f>
        <v>0.13074662432270781</v>
      </c>
      <c r="U69" s="99" t="s">
        <v>441</v>
      </c>
      <c r="AB69" s="97"/>
      <c r="AC69" s="97"/>
      <c r="AD69" s="97"/>
      <c r="AE69" s="97"/>
      <c r="AF69" s="97"/>
      <c r="AG69" s="97"/>
      <c r="AH69" s="97"/>
      <c r="AI69" s="97"/>
      <c r="AJ69" s="97"/>
      <c r="AK69" s="97"/>
      <c r="AL69" s="97"/>
      <c r="AM69" s="97"/>
      <c r="AN69" s="97"/>
      <c r="AO69" s="97"/>
      <c r="AP69" s="97"/>
      <c r="AQ69" s="97"/>
      <c r="AR69" s="97"/>
      <c r="AS69" s="97"/>
      <c r="AT69" s="97"/>
      <c r="AU69" s="97"/>
      <c r="AV69" s="97"/>
      <c r="AW69" s="97"/>
      <c r="AX69" s="97"/>
      <c r="AY69" s="97"/>
      <c r="AZ69" s="97"/>
      <c r="BA69" s="97"/>
      <c r="BB69" s="97"/>
      <c r="BC69" s="97"/>
      <c r="BD69" s="97"/>
      <c r="BE69" s="97"/>
      <c r="BF69" s="97"/>
      <c r="BG69" s="97"/>
      <c r="BH69" s="97"/>
      <c r="BI69" s="97"/>
      <c r="BJ69" s="97"/>
      <c r="BK69" s="97"/>
      <c r="BL69" s="97"/>
      <c r="BM69" s="97"/>
      <c r="BN69" s="97"/>
      <c r="BO69" s="97"/>
      <c r="BP69" s="97"/>
      <c r="BQ69" s="97"/>
      <c r="BR69" s="97"/>
      <c r="BS69" s="97"/>
      <c r="BT69" s="97"/>
      <c r="BU69" s="97"/>
    </row>
    <row r="70" spans="1:73" s="145" customFormat="1" ht="12" customHeight="1" x14ac:dyDescent="0.2">
      <c r="A70" s="403">
        <v>3</v>
      </c>
      <c r="B70" s="403" t="str">
        <f>'4. Water Adjustment'!B124</f>
        <v>RO Water</v>
      </c>
      <c r="D70" s="144"/>
      <c r="E70" s="99"/>
      <c r="F70" s="99"/>
      <c r="G70" s="99"/>
      <c r="H70" s="99"/>
      <c r="I70" s="99"/>
      <c r="J70" s="99"/>
      <c r="K70" s="99"/>
      <c r="L70" s="99"/>
      <c r="M70" s="99"/>
      <c r="N70" s="99"/>
      <c r="O70" s="99"/>
      <c r="P70" s="99"/>
      <c r="Q70" s="144"/>
      <c r="R70" s="144"/>
      <c r="S70" s="99"/>
      <c r="T70" s="99"/>
      <c r="U70" s="99"/>
      <c r="AB70" s="97"/>
      <c r="AC70" s="97"/>
      <c r="AD70" s="97"/>
      <c r="AE70" s="97"/>
      <c r="AF70" s="97"/>
      <c r="AG70" s="97"/>
      <c r="AH70" s="97"/>
      <c r="AI70" s="97"/>
      <c r="AJ70" s="97"/>
      <c r="AK70" s="97"/>
      <c r="AL70" s="97"/>
      <c r="AM70" s="97"/>
      <c r="AN70" s="97"/>
      <c r="AO70" s="97"/>
      <c r="AP70" s="97"/>
      <c r="AQ70" s="97"/>
      <c r="AR70" s="97"/>
      <c r="AS70" s="97"/>
      <c r="AT70" s="97"/>
      <c r="AU70" s="97"/>
      <c r="AV70" s="97"/>
      <c r="AW70" s="97"/>
      <c r="AX70" s="97"/>
      <c r="AY70" s="97"/>
      <c r="AZ70" s="97"/>
      <c r="BA70" s="97"/>
      <c r="BB70" s="97"/>
      <c r="BC70" s="97"/>
      <c r="BD70" s="97"/>
      <c r="BE70" s="97"/>
      <c r="BF70" s="97"/>
      <c r="BG70" s="97"/>
      <c r="BH70" s="97"/>
      <c r="BI70" s="97"/>
      <c r="BJ70" s="97"/>
      <c r="BK70" s="97"/>
      <c r="BL70" s="97"/>
      <c r="BM70" s="97"/>
      <c r="BN70" s="97"/>
      <c r="BO70" s="97"/>
      <c r="BP70" s="97"/>
      <c r="BQ70" s="97"/>
      <c r="BR70" s="97"/>
      <c r="BS70" s="97"/>
      <c r="BT70" s="97"/>
      <c r="BU70" s="97"/>
    </row>
    <row r="71" spans="1:73" s="145" customFormat="1" x14ac:dyDescent="0.2">
      <c r="B71" s="99"/>
      <c r="C71" s="99"/>
      <c r="D71" s="99"/>
      <c r="E71" s="99"/>
      <c r="F71" s="99"/>
      <c r="G71" s="99"/>
      <c r="H71" s="99"/>
      <c r="I71" s="99"/>
      <c r="J71" s="99"/>
      <c r="K71" s="99"/>
      <c r="L71" s="99"/>
      <c r="M71" s="99"/>
      <c r="N71" s="99"/>
      <c r="O71" s="99"/>
      <c r="P71" s="99"/>
      <c r="Q71" s="144"/>
      <c r="R71" s="144"/>
      <c r="S71" s="144"/>
      <c r="T71" s="144"/>
      <c r="U71" s="144"/>
      <c r="AB71" s="97"/>
      <c r="AC71" s="97"/>
      <c r="AD71" s="97"/>
      <c r="AE71" s="97"/>
      <c r="AF71" s="97"/>
      <c r="AG71" s="97"/>
      <c r="AH71" s="97"/>
      <c r="AI71" s="97"/>
      <c r="AJ71" s="97"/>
      <c r="AK71" s="97"/>
      <c r="AL71" s="97"/>
      <c r="AM71" s="97"/>
      <c r="AN71" s="97"/>
      <c r="AO71" s="97"/>
      <c r="AP71" s="97"/>
      <c r="AQ71" s="97"/>
      <c r="AR71" s="97"/>
      <c r="AS71" s="97"/>
      <c r="AT71" s="97"/>
      <c r="AU71" s="97"/>
      <c r="AV71" s="97"/>
      <c r="AW71" s="97"/>
      <c r="AX71" s="97"/>
      <c r="AY71" s="97"/>
      <c r="AZ71" s="97"/>
      <c r="BA71" s="97"/>
      <c r="BB71" s="97"/>
      <c r="BC71" s="97"/>
      <c r="BD71" s="97"/>
      <c r="BE71" s="97"/>
      <c r="BF71" s="97"/>
      <c r="BG71" s="97"/>
      <c r="BH71" s="97"/>
      <c r="BI71" s="97"/>
      <c r="BJ71" s="97"/>
      <c r="BK71" s="97"/>
      <c r="BL71" s="97"/>
      <c r="BM71" s="97"/>
      <c r="BN71" s="97"/>
      <c r="BO71" s="97"/>
      <c r="BP71" s="97"/>
      <c r="BQ71" s="97"/>
      <c r="BR71" s="97"/>
      <c r="BS71" s="97"/>
      <c r="BT71" s="97"/>
      <c r="BU71" s="97"/>
    </row>
    <row r="72" spans="1:73" s="145" customFormat="1" x14ac:dyDescent="0.2">
      <c r="B72" s="144"/>
      <c r="C72" s="144"/>
      <c r="D72" s="144"/>
      <c r="E72" s="144"/>
      <c r="F72" s="144"/>
      <c r="G72" s="144"/>
      <c r="H72" s="144"/>
      <c r="I72" s="144"/>
      <c r="J72" s="144"/>
      <c r="K72" s="144"/>
      <c r="L72" s="144"/>
      <c r="M72" s="144"/>
      <c r="N72" s="144"/>
      <c r="O72" s="144"/>
      <c r="P72" s="144"/>
      <c r="Q72" s="144"/>
      <c r="R72" s="144"/>
      <c r="S72" s="144"/>
      <c r="T72" s="144"/>
      <c r="U72" s="144"/>
      <c r="AB72" s="97"/>
      <c r="AC72" s="97"/>
      <c r="AD72" s="97"/>
      <c r="AE72" s="97"/>
      <c r="AF72" s="97"/>
      <c r="AG72" s="97"/>
      <c r="AH72" s="97"/>
      <c r="AI72" s="97"/>
      <c r="AJ72" s="97"/>
      <c r="AK72" s="97"/>
      <c r="AL72" s="97"/>
      <c r="AM72" s="97"/>
      <c r="AN72" s="97"/>
      <c r="AO72" s="97"/>
      <c r="AP72" s="97"/>
      <c r="AQ72" s="97"/>
      <c r="AR72" s="97"/>
      <c r="AS72" s="97"/>
      <c r="AT72" s="97"/>
      <c r="AU72" s="97"/>
      <c r="AV72" s="97"/>
      <c r="AW72" s="97"/>
      <c r="AX72" s="97"/>
      <c r="AY72" s="97"/>
      <c r="AZ72" s="97"/>
      <c r="BA72" s="97"/>
      <c r="BB72" s="97"/>
      <c r="BC72" s="97"/>
      <c r="BD72" s="97"/>
      <c r="BE72" s="97"/>
      <c r="BF72" s="97"/>
      <c r="BG72" s="97"/>
      <c r="BH72" s="97"/>
      <c r="BI72" s="97"/>
      <c r="BJ72" s="97"/>
      <c r="BK72" s="97"/>
      <c r="BL72" s="97"/>
      <c r="BM72" s="97"/>
      <c r="BN72" s="97"/>
      <c r="BO72" s="97"/>
      <c r="BP72" s="97"/>
      <c r="BQ72" s="97"/>
      <c r="BR72" s="97"/>
      <c r="BS72" s="97"/>
      <c r="BT72" s="97"/>
      <c r="BU72" s="97"/>
    </row>
    <row r="73" spans="1:73" s="145" customFormat="1" x14ac:dyDescent="0.2">
      <c r="A73" s="99">
        <f>INDEX($A$74:$A$82, MATCH($B$16,$B$74:$B$82,0))</f>
        <v>4</v>
      </c>
      <c r="B73" s="394" t="s">
        <v>86</v>
      </c>
      <c r="C73" s="394" t="s">
        <v>87</v>
      </c>
      <c r="D73" s="394" t="s">
        <v>88</v>
      </c>
      <c r="E73" s="394" t="s">
        <v>89</v>
      </c>
      <c r="F73" s="394" t="s">
        <v>90</v>
      </c>
      <c r="G73" s="401" t="s">
        <v>108</v>
      </c>
      <c r="H73" s="394" t="s">
        <v>346</v>
      </c>
      <c r="I73" s="394" t="s">
        <v>347</v>
      </c>
      <c r="J73" s="394" t="s">
        <v>348</v>
      </c>
      <c r="Q73" s="144"/>
      <c r="R73" s="144"/>
      <c r="S73" s="279" t="s">
        <v>98</v>
      </c>
      <c r="T73" s="283">
        <f>10^(N(B11)-C83)</f>
        <v>7585.7757502918394</v>
      </c>
      <c r="U73" s="99"/>
      <c r="AB73" s="97"/>
      <c r="AC73" s="97"/>
      <c r="AD73" s="97"/>
      <c r="AE73" s="97"/>
      <c r="AF73" s="97"/>
      <c r="AG73" s="97"/>
      <c r="AH73" s="97"/>
      <c r="AI73" s="97"/>
      <c r="AJ73" s="97"/>
      <c r="AK73" s="97"/>
      <c r="AL73" s="97"/>
      <c r="AM73" s="97"/>
      <c r="AN73" s="97"/>
      <c r="AO73" s="97"/>
      <c r="AP73" s="97"/>
      <c r="AQ73" s="97"/>
      <c r="AR73" s="97"/>
      <c r="AS73" s="97"/>
      <c r="AT73" s="97"/>
      <c r="AU73" s="97"/>
      <c r="AV73" s="97"/>
      <c r="AW73" s="97"/>
      <c r="AX73" s="97"/>
      <c r="AY73" s="97"/>
      <c r="AZ73" s="97"/>
      <c r="BA73" s="97"/>
      <c r="BB73" s="97"/>
      <c r="BC73" s="97"/>
      <c r="BD73" s="97"/>
      <c r="BE73" s="97"/>
      <c r="BF73" s="97"/>
      <c r="BG73" s="97"/>
      <c r="BH73" s="97"/>
      <c r="BI73" s="97"/>
      <c r="BJ73" s="97"/>
      <c r="BK73" s="97"/>
      <c r="BL73" s="97"/>
      <c r="BM73" s="97"/>
      <c r="BN73" s="97"/>
      <c r="BO73" s="97"/>
      <c r="BP73" s="97"/>
      <c r="BQ73" s="97"/>
      <c r="BR73" s="97"/>
      <c r="BS73" s="97"/>
      <c r="BT73" s="97"/>
      <c r="BU73" s="97"/>
    </row>
    <row r="74" spans="1:73" s="145" customFormat="1" x14ac:dyDescent="0.2">
      <c r="A74" s="99">
        <v>1</v>
      </c>
      <c r="B74" s="394" t="s">
        <v>91</v>
      </c>
      <c r="C74" s="393">
        <v>4.75</v>
      </c>
      <c r="D74" s="393">
        <v>20</v>
      </c>
      <c r="E74" s="393">
        <v>20</v>
      </c>
      <c r="F74" s="393">
        <v>60.05</v>
      </c>
      <c r="G74" s="393">
        <f>1000*((-7.575*10^(-10)*(F17^4))+(7.01*10^(-8)*(F17^3))+(-9.254*10^(-6)*(F17^2))+(1.575*10^(-3)*F17)+0.9979)</f>
        <v>1012.7871250000001</v>
      </c>
      <c r="H74" s="393" t="s">
        <v>349</v>
      </c>
      <c r="I74" s="393" t="s">
        <v>436</v>
      </c>
      <c r="J74" s="393" t="s">
        <v>352</v>
      </c>
      <c r="K74" s="393" t="s">
        <v>503</v>
      </c>
      <c r="L74" s="393" t="s">
        <v>350</v>
      </c>
      <c r="M74" s="390">
        <f>VLOOKUP(A85,strtable2,3,FALSE)</f>
        <v>0</v>
      </c>
      <c r="N74" s="390">
        <f>$B$21*0.2029</f>
        <v>0</v>
      </c>
      <c r="O74" s="264" t="s">
        <v>514</v>
      </c>
      <c r="P74" s="393">
        <v>59</v>
      </c>
      <c r="Q74" s="264" t="s">
        <v>541</v>
      </c>
      <c r="R74" s="264">
        <v>175</v>
      </c>
      <c r="S74" s="279" t="s">
        <v>99</v>
      </c>
      <c r="T74" s="283">
        <f>10^(N(B11)-D83)</f>
        <v>6.3095734448019289E-2</v>
      </c>
      <c r="U74" s="99"/>
      <c r="AB74" s="97"/>
      <c r="AC74" s="97"/>
      <c r="AD74" s="97"/>
      <c r="AE74" s="97"/>
      <c r="AF74" s="97"/>
      <c r="AG74" s="97"/>
      <c r="AH74" s="97"/>
      <c r="AI74" s="97"/>
      <c r="AJ74" s="97"/>
      <c r="AK74" s="97"/>
      <c r="AL74" s="97"/>
      <c r="AM74" s="97"/>
      <c r="AN74" s="97"/>
      <c r="AO74" s="97"/>
      <c r="AP74" s="97"/>
      <c r="AQ74" s="97"/>
      <c r="AR74" s="97"/>
      <c r="AS74" s="97"/>
      <c r="AT74" s="97"/>
      <c r="AU74" s="97"/>
      <c r="AV74" s="97"/>
      <c r="AW74" s="97"/>
      <c r="AX74" s="97"/>
      <c r="AY74" s="97"/>
      <c r="AZ74" s="97"/>
      <c r="BA74" s="97"/>
      <c r="BB74" s="97"/>
      <c r="BC74" s="97"/>
      <c r="BD74" s="97"/>
      <c r="BE74" s="97"/>
      <c r="BF74" s="97"/>
      <c r="BG74" s="97"/>
      <c r="BH74" s="97"/>
      <c r="BI74" s="97"/>
      <c r="BJ74" s="97"/>
      <c r="BK74" s="97"/>
      <c r="BL74" s="97"/>
      <c r="BM74" s="97"/>
      <c r="BN74" s="97"/>
      <c r="BO74" s="97"/>
      <c r="BP74" s="97"/>
      <c r="BQ74" s="97"/>
      <c r="BR74" s="97"/>
      <c r="BS74" s="97"/>
      <c r="BT74" s="97"/>
      <c r="BU74" s="97"/>
    </row>
    <row r="75" spans="1:73" s="145" customFormat="1" x14ac:dyDescent="0.2">
      <c r="A75" s="99">
        <v>2</v>
      </c>
      <c r="B75" s="394" t="s">
        <v>93</v>
      </c>
      <c r="C75" s="393">
        <v>-7</v>
      </c>
      <c r="D75" s="393">
        <v>20</v>
      </c>
      <c r="E75" s="393">
        <v>20</v>
      </c>
      <c r="F75" s="393">
        <v>36.46</v>
      </c>
      <c r="G75" s="393">
        <f>1000*((-3.1666*10^(-7)*($F$17^3))+(1.8499*10^(-5)*($F$17^2))+(4.7666*10^(-3)*$F$17)+0.998)</f>
        <v>1047.1992400000001</v>
      </c>
      <c r="H75" s="393" t="s">
        <v>349</v>
      </c>
      <c r="I75" s="393" t="s">
        <v>436</v>
      </c>
      <c r="J75" s="393" t="s">
        <v>352</v>
      </c>
      <c r="K75" s="393" t="s">
        <v>504</v>
      </c>
      <c r="L75" s="393" t="s">
        <v>350</v>
      </c>
      <c r="M75" s="390">
        <f>VLOOKUP(A85,strtable2,3,FALSE)</f>
        <v>0</v>
      </c>
      <c r="N75" s="390">
        <f>$B$21*0.2029</f>
        <v>0</v>
      </c>
      <c r="O75" s="264" t="s">
        <v>679</v>
      </c>
      <c r="P75" s="393"/>
      <c r="Q75" s="264" t="s">
        <v>679</v>
      </c>
      <c r="R75" s="264">
        <v>1000</v>
      </c>
      <c r="S75" s="279" t="s">
        <v>100</v>
      </c>
      <c r="T75" s="283">
        <f>10^(N(B11)-E83)</f>
        <v>3.630780547701011E-7</v>
      </c>
      <c r="U75" s="99"/>
      <c r="AB75" s="97"/>
      <c r="AC75" s="97"/>
      <c r="AD75" s="97"/>
      <c r="AE75" s="97"/>
      <c r="AF75" s="97"/>
      <c r="AG75" s="97"/>
      <c r="AH75" s="97"/>
      <c r="AI75" s="97"/>
      <c r="AJ75" s="97"/>
      <c r="AK75" s="97"/>
      <c r="AL75" s="97"/>
      <c r="AM75" s="97"/>
      <c r="AN75" s="97"/>
      <c r="AO75" s="97"/>
      <c r="AP75" s="97"/>
      <c r="AQ75" s="97"/>
      <c r="AR75" s="97"/>
      <c r="AS75" s="97"/>
      <c r="AT75" s="97"/>
      <c r="AU75" s="97"/>
      <c r="AV75" s="97"/>
      <c r="AW75" s="97"/>
      <c r="AX75" s="97"/>
      <c r="AY75" s="97"/>
      <c r="AZ75" s="97"/>
      <c r="BA75" s="97"/>
      <c r="BB75" s="97"/>
      <c r="BC75" s="97"/>
      <c r="BD75" s="97"/>
      <c r="BE75" s="97"/>
      <c r="BF75" s="97"/>
      <c r="BG75" s="97"/>
      <c r="BH75" s="97"/>
      <c r="BI75" s="97"/>
      <c r="BJ75" s="97"/>
      <c r="BK75" s="97"/>
      <c r="BL75" s="97"/>
      <c r="BM75" s="97"/>
      <c r="BN75" s="97"/>
      <c r="BO75" s="97"/>
      <c r="BP75" s="97"/>
      <c r="BQ75" s="97"/>
      <c r="BR75" s="97"/>
      <c r="BS75" s="97"/>
      <c r="BT75" s="97"/>
      <c r="BU75" s="97"/>
    </row>
    <row r="76" spans="1:73" s="145" customFormat="1" x14ac:dyDescent="0.2">
      <c r="A76" s="99">
        <v>3</v>
      </c>
      <c r="B76" s="394" t="s">
        <v>94</v>
      </c>
      <c r="C76" s="393">
        <v>3.86</v>
      </c>
      <c r="D76" s="393">
        <v>20</v>
      </c>
      <c r="E76" s="393">
        <v>20</v>
      </c>
      <c r="F76" s="393">
        <v>90.08</v>
      </c>
      <c r="G76" s="393">
        <f>1000*((-5.6193*10^(-10)*($F$17^4))+(5.115*10^(-8)*($F$17^3))+(-1.1408*10^(-6)*($F$17^2))+(2.4529*10^(-3)*$F$17)+0.998)</f>
        <v>1022.4604506999999</v>
      </c>
      <c r="H76" s="393" t="s">
        <v>349</v>
      </c>
      <c r="I76" s="393" t="s">
        <v>436</v>
      </c>
      <c r="J76" s="393" t="s">
        <v>352</v>
      </c>
      <c r="K76" s="393" t="s">
        <v>505</v>
      </c>
      <c r="L76" s="393" t="s">
        <v>350</v>
      </c>
      <c r="M76" s="390">
        <f>VLOOKUP(A85,strtable2,3,FALSE)</f>
        <v>0</v>
      </c>
      <c r="N76" s="390">
        <f>$B$21*0.2029</f>
        <v>0</v>
      </c>
      <c r="O76" s="264" t="s">
        <v>515</v>
      </c>
      <c r="P76" s="393">
        <v>89</v>
      </c>
      <c r="Q76" s="264" t="s">
        <v>542</v>
      </c>
      <c r="R76" s="264">
        <v>400</v>
      </c>
      <c r="S76" s="279" t="s">
        <v>101</v>
      </c>
      <c r="T76" s="283">
        <f>1/(1+T73+(T73*T74)+(T73*T74*T75))</f>
        <v>1.2398631860160528E-4</v>
      </c>
      <c r="U76" s="99"/>
      <c r="AB76" s="97"/>
      <c r="AC76" s="97"/>
      <c r="AD76" s="97"/>
      <c r="AE76" s="97"/>
      <c r="AF76" s="97"/>
      <c r="AG76" s="97"/>
      <c r="AH76" s="97"/>
      <c r="AI76" s="97"/>
      <c r="AJ76" s="97"/>
      <c r="AK76" s="97"/>
      <c r="AL76" s="97"/>
      <c r="AM76" s="97"/>
      <c r="AN76" s="97"/>
      <c r="AO76" s="97"/>
      <c r="AP76" s="97"/>
      <c r="AQ76" s="97"/>
      <c r="AR76" s="97"/>
      <c r="AS76" s="97"/>
      <c r="AT76" s="97"/>
      <c r="AU76" s="97"/>
      <c r="AV76" s="97"/>
      <c r="AW76" s="97"/>
      <c r="AX76" s="97"/>
      <c r="AY76" s="97"/>
      <c r="AZ76" s="97"/>
      <c r="BA76" s="97"/>
      <c r="BB76" s="97"/>
      <c r="BC76" s="97"/>
      <c r="BD76" s="97"/>
      <c r="BE76" s="97"/>
      <c r="BF76" s="97"/>
      <c r="BG76" s="97"/>
      <c r="BH76" s="97"/>
      <c r="BI76" s="97"/>
      <c r="BJ76" s="97"/>
      <c r="BK76" s="97"/>
      <c r="BL76" s="97"/>
      <c r="BM76" s="97"/>
      <c r="BN76" s="97"/>
      <c r="BO76" s="97"/>
      <c r="BP76" s="97"/>
      <c r="BQ76" s="97"/>
      <c r="BR76" s="97"/>
      <c r="BS76" s="97"/>
      <c r="BT76" s="97"/>
      <c r="BU76" s="97"/>
    </row>
    <row r="77" spans="1:73" s="145" customFormat="1" x14ac:dyDescent="0.2">
      <c r="A77" s="99">
        <v>4</v>
      </c>
      <c r="B77" s="394" t="s">
        <v>95</v>
      </c>
      <c r="C77" s="393">
        <v>2.12</v>
      </c>
      <c r="D77" s="393">
        <v>7.2</v>
      </c>
      <c r="E77" s="393">
        <v>12.44</v>
      </c>
      <c r="F77" s="393">
        <v>98</v>
      </c>
      <c r="G77" s="393">
        <f>1000*((-3.9523*10^(-9)*($F$17^4))+(6.8571*10^(-7)*($F$17^3))+(5.4475*10^(-7)*($F$17^2))+(5.51368*10^(-3)*$F$17)+0.99778)</f>
        <v>1053.6174620000002</v>
      </c>
      <c r="H77" s="393" t="s">
        <v>349</v>
      </c>
      <c r="I77" s="393" t="s">
        <v>436</v>
      </c>
      <c r="J77" s="393" t="s">
        <v>352</v>
      </c>
      <c r="K77" s="393" t="s">
        <v>506</v>
      </c>
      <c r="L77" s="393" t="s">
        <v>350</v>
      </c>
      <c r="M77" s="390">
        <f>VLOOKUP(A85,strtable2,3,FALSE)</f>
        <v>0</v>
      </c>
      <c r="N77" s="390">
        <f>$B$21*0.2029</f>
        <v>0</v>
      </c>
      <c r="O77" s="264" t="s">
        <v>516</v>
      </c>
      <c r="P77" s="393">
        <v>95</v>
      </c>
      <c r="Q77" s="264" t="s">
        <v>543</v>
      </c>
      <c r="R77" s="264">
        <v>1000</v>
      </c>
      <c r="S77" s="279" t="s">
        <v>102</v>
      </c>
      <c r="T77" s="283">
        <f>T76</f>
        <v>1.2398631860160528E-4</v>
      </c>
      <c r="U77" s="99"/>
      <c r="AB77" s="97"/>
      <c r="AC77" s="97"/>
      <c r="AD77" s="97"/>
      <c r="AE77" s="97"/>
      <c r="AF77" s="97"/>
      <c r="AG77" s="97"/>
      <c r="AH77" s="97"/>
      <c r="AI77" s="97"/>
      <c r="AJ77" s="97"/>
      <c r="AK77" s="97"/>
      <c r="AL77" s="97"/>
      <c r="AM77" s="97"/>
      <c r="AN77" s="97"/>
      <c r="AO77" s="97"/>
      <c r="AP77" s="97"/>
      <c r="AQ77" s="97"/>
      <c r="AR77" s="97"/>
      <c r="AS77" s="97"/>
      <c r="AT77" s="97"/>
      <c r="AU77" s="97"/>
      <c r="AV77" s="97"/>
      <c r="AW77" s="97"/>
      <c r="AX77" s="97"/>
      <c r="AY77" s="97"/>
      <c r="AZ77" s="97"/>
      <c r="BA77" s="97"/>
      <c r="BB77" s="97"/>
      <c r="BC77" s="97"/>
      <c r="BD77" s="97"/>
      <c r="BE77" s="97"/>
      <c r="BF77" s="97"/>
      <c r="BG77" s="97"/>
      <c r="BH77" s="97"/>
      <c r="BI77" s="97"/>
      <c r="BJ77" s="97"/>
      <c r="BK77" s="97"/>
      <c r="BL77" s="97"/>
      <c r="BM77" s="97"/>
      <c r="BN77" s="97"/>
      <c r="BO77" s="97"/>
      <c r="BP77" s="97"/>
      <c r="BQ77" s="97"/>
      <c r="BR77" s="97"/>
      <c r="BS77" s="97"/>
      <c r="BT77" s="97"/>
      <c r="BU77" s="97"/>
    </row>
    <row r="78" spans="1:73" s="145" customFormat="1" x14ac:dyDescent="0.2">
      <c r="A78" s="99">
        <v>5</v>
      </c>
      <c r="B78" s="394" t="s">
        <v>96</v>
      </c>
      <c r="C78" s="393">
        <v>-1</v>
      </c>
      <c r="D78" s="393">
        <v>1.92</v>
      </c>
      <c r="E78" s="393">
        <v>20</v>
      </c>
      <c r="F78" s="393">
        <v>98.07</v>
      </c>
      <c r="G78" s="393">
        <f>1000*((-2.0911*10^(-8)*($F$17^4))+(3.4312*10^(-6)*($F$17^3))+(-1.3954*10^(-4)*($F$17^2))+(9.0885*10^(-3)*$F$17)+0.9947)</f>
        <v>1074.8530900000001</v>
      </c>
      <c r="H78" s="393" t="s">
        <v>349</v>
      </c>
      <c r="I78" s="393" t="s">
        <v>436</v>
      </c>
      <c r="J78" s="393" t="s">
        <v>352</v>
      </c>
      <c r="K78" s="393" t="s">
        <v>507</v>
      </c>
      <c r="L78" s="393" t="s">
        <v>350</v>
      </c>
      <c r="M78" s="390">
        <f>VLOOKUP(A85,strtable2,3,FALSE)</f>
        <v>0</v>
      </c>
      <c r="N78" s="390">
        <f>$B$21*0.2029</f>
        <v>0</v>
      </c>
      <c r="O78" s="264" t="s">
        <v>679</v>
      </c>
      <c r="P78" s="393"/>
      <c r="Q78" s="264" t="s">
        <v>679</v>
      </c>
      <c r="R78" s="264">
        <v>1000</v>
      </c>
      <c r="S78" s="279" t="s">
        <v>103</v>
      </c>
      <c r="T78" s="283">
        <f>T76*T73</f>
        <v>0.94053240901601531</v>
      </c>
      <c r="U78" s="99"/>
      <c r="AB78" s="97"/>
      <c r="AC78" s="97"/>
      <c r="AD78" s="97"/>
      <c r="AE78" s="97"/>
      <c r="AF78" s="97"/>
      <c r="AG78" s="97"/>
      <c r="AH78" s="97"/>
      <c r="AI78" s="97"/>
      <c r="AJ78" s="97"/>
      <c r="AK78" s="97"/>
      <c r="AL78" s="97"/>
      <c r="AM78" s="97"/>
      <c r="AN78" s="97"/>
      <c r="AO78" s="97"/>
      <c r="AP78" s="97"/>
      <c r="AQ78" s="97"/>
      <c r="AR78" s="97"/>
      <c r="AS78" s="97"/>
      <c r="AT78" s="97"/>
      <c r="AU78" s="97"/>
      <c r="AV78" s="97"/>
      <c r="AW78" s="97"/>
      <c r="AX78" s="97"/>
      <c r="AY78" s="97"/>
      <c r="AZ78" s="97"/>
      <c r="BA78" s="97"/>
      <c r="BB78" s="97"/>
      <c r="BC78" s="97"/>
      <c r="BD78" s="97"/>
      <c r="BE78" s="97"/>
      <c r="BF78" s="97"/>
      <c r="BG78" s="97"/>
      <c r="BH78" s="97"/>
      <c r="BI78" s="97"/>
      <c r="BJ78" s="97"/>
      <c r="BK78" s="97"/>
      <c r="BL78" s="97"/>
      <c r="BM78" s="97"/>
      <c r="BN78" s="97"/>
      <c r="BO78" s="97"/>
      <c r="BP78" s="97"/>
      <c r="BQ78" s="97"/>
      <c r="BR78" s="97"/>
      <c r="BS78" s="97"/>
      <c r="BT78" s="97"/>
      <c r="BU78" s="97"/>
    </row>
    <row r="79" spans="1:73" s="145" customFormat="1" x14ac:dyDescent="0.2">
      <c r="A79" s="99">
        <v>6</v>
      </c>
      <c r="B79" s="394" t="s">
        <v>92</v>
      </c>
      <c r="C79" s="393">
        <v>3.14</v>
      </c>
      <c r="D79" s="393">
        <v>4.7699999999999996</v>
      </c>
      <c r="E79" s="393">
        <v>6.39</v>
      </c>
      <c r="F79" s="393">
        <v>192.13</v>
      </c>
      <c r="G79" s="393">
        <v>1480</v>
      </c>
      <c r="H79" s="393" t="s">
        <v>285</v>
      </c>
      <c r="I79" s="393" t="s">
        <v>437</v>
      </c>
      <c r="J79" s="393" t="s">
        <v>354</v>
      </c>
      <c r="K79" s="393" t="s">
        <v>508</v>
      </c>
      <c r="L79" s="393" t="s">
        <v>351</v>
      </c>
      <c r="M79" s="390">
        <f>(mm_required2*F83*N(B12)*J63)/1000</f>
        <v>0</v>
      </c>
      <c r="N79" s="390">
        <f>$B$21/1000</f>
        <v>0</v>
      </c>
      <c r="O79" s="264" t="s">
        <v>517</v>
      </c>
      <c r="P79" s="393">
        <v>189</v>
      </c>
      <c r="Q79" s="264" t="s">
        <v>544</v>
      </c>
      <c r="R79" s="264">
        <v>150</v>
      </c>
      <c r="S79" s="279" t="s">
        <v>104</v>
      </c>
      <c r="T79" s="283">
        <f>T73*T74*T76</f>
        <v>5.9343583119030367E-2</v>
      </c>
      <c r="U79" s="99"/>
      <c r="AB79" s="97"/>
      <c r="AC79" s="97"/>
      <c r="AD79" s="97"/>
      <c r="AE79" s="97"/>
      <c r="AF79" s="97"/>
      <c r="AG79" s="97"/>
      <c r="AH79" s="97"/>
      <c r="AI79" s="97"/>
      <c r="AJ79" s="97"/>
      <c r="AK79" s="97"/>
      <c r="AL79" s="97"/>
      <c r="AM79" s="97"/>
      <c r="AN79" s="97"/>
      <c r="AO79" s="97"/>
      <c r="AP79" s="97"/>
      <c r="AQ79" s="97"/>
      <c r="AR79" s="97"/>
      <c r="AS79" s="97"/>
      <c r="AT79" s="97"/>
      <c r="AU79" s="97"/>
      <c r="AV79" s="97"/>
      <c r="AW79" s="97"/>
      <c r="AX79" s="97"/>
      <c r="AY79" s="97"/>
      <c r="AZ79" s="97"/>
      <c r="BA79" s="97"/>
      <c r="BB79" s="97"/>
      <c r="BC79" s="97"/>
      <c r="BD79" s="97"/>
      <c r="BE79" s="97"/>
      <c r="BF79" s="97"/>
      <c r="BG79" s="97"/>
      <c r="BH79" s="97"/>
      <c r="BI79" s="97"/>
      <c r="BJ79" s="97"/>
      <c r="BK79" s="97"/>
      <c r="BL79" s="97"/>
      <c r="BM79" s="97"/>
      <c r="BN79" s="97"/>
      <c r="BO79" s="97"/>
      <c r="BP79" s="97"/>
      <c r="BQ79" s="97"/>
      <c r="BR79" s="97"/>
      <c r="BS79" s="97"/>
      <c r="BT79" s="97"/>
      <c r="BU79" s="97"/>
    </row>
    <row r="80" spans="1:73" s="145" customFormat="1" x14ac:dyDescent="0.2">
      <c r="A80" s="99">
        <v>7</v>
      </c>
      <c r="B80" s="394" t="s">
        <v>97</v>
      </c>
      <c r="C80" s="393">
        <v>2.98</v>
      </c>
      <c r="D80" s="393">
        <v>4.34</v>
      </c>
      <c r="E80" s="393">
        <v>20</v>
      </c>
      <c r="F80" s="393">
        <v>150.09</v>
      </c>
      <c r="G80" s="393">
        <v>1000</v>
      </c>
      <c r="H80" s="393" t="s">
        <v>285</v>
      </c>
      <c r="I80" s="393" t="s">
        <v>437</v>
      </c>
      <c r="J80" s="393" t="s">
        <v>354</v>
      </c>
      <c r="K80" s="393" t="s">
        <v>509</v>
      </c>
      <c r="L80" s="393" t="s">
        <v>351</v>
      </c>
      <c r="M80" s="390">
        <f>(mm_required2*F83*N(B12)*J63)/1000</f>
        <v>0</v>
      </c>
      <c r="N80" s="390">
        <f>$B$21/1000</f>
        <v>0</v>
      </c>
      <c r="O80" s="264" t="s">
        <v>518</v>
      </c>
      <c r="P80" s="393">
        <v>148</v>
      </c>
      <c r="Q80" s="264" t="s">
        <v>545</v>
      </c>
      <c r="R80" s="264">
        <v>600</v>
      </c>
      <c r="S80" s="279" t="s">
        <v>105</v>
      </c>
      <c r="T80" s="283">
        <f>T73*T74*T75*T76</f>
        <v>2.1546352721945355E-8</v>
      </c>
      <c r="U80" s="99"/>
      <c r="AB80" s="97"/>
      <c r="AC80" s="97"/>
      <c r="AD80" s="97"/>
      <c r="AE80" s="97"/>
      <c r="AF80" s="97"/>
      <c r="AG80" s="97"/>
      <c r="AH80" s="97"/>
      <c r="AI80" s="97"/>
      <c r="AJ80" s="97"/>
      <c r="AK80" s="97"/>
      <c r="AL80" s="97"/>
      <c r="AM80" s="97"/>
      <c r="AN80" s="97"/>
      <c r="AO80" s="97"/>
      <c r="AP80" s="97"/>
      <c r="AQ80" s="97"/>
      <c r="AR80" s="97"/>
      <c r="AS80" s="97"/>
      <c r="AT80" s="97"/>
      <c r="AU80" s="97"/>
      <c r="AV80" s="97"/>
      <c r="AW80" s="97"/>
      <c r="AX80" s="97"/>
      <c r="AY80" s="97"/>
      <c r="AZ80" s="97"/>
      <c r="BA80" s="97"/>
      <c r="BB80" s="97"/>
      <c r="BC80" s="97"/>
      <c r="BD80" s="97"/>
      <c r="BE80" s="97"/>
      <c r="BF80" s="97"/>
      <c r="BG80" s="97"/>
      <c r="BH80" s="97"/>
      <c r="BI80" s="97"/>
      <c r="BJ80" s="97"/>
      <c r="BK80" s="97"/>
      <c r="BL80" s="97"/>
      <c r="BM80" s="97"/>
      <c r="BN80" s="97"/>
      <c r="BO80" s="97"/>
      <c r="BP80" s="97"/>
      <c r="BQ80" s="97"/>
      <c r="BR80" s="97"/>
      <c r="BS80" s="97"/>
      <c r="BT80" s="97"/>
      <c r="BU80" s="97"/>
    </row>
    <row r="81" spans="1:73" s="145" customFormat="1" x14ac:dyDescent="0.2">
      <c r="A81" s="99">
        <v>8</v>
      </c>
      <c r="B81" s="394" t="s">
        <v>37</v>
      </c>
      <c r="C81" s="393">
        <v>3.4</v>
      </c>
      <c r="D81" s="393">
        <v>5.2</v>
      </c>
      <c r="E81" s="393">
        <v>20</v>
      </c>
      <c r="F81" s="393">
        <v>134.09</v>
      </c>
      <c r="G81" s="393">
        <v>1609</v>
      </c>
      <c r="H81" s="393" t="s">
        <v>285</v>
      </c>
      <c r="I81" s="393" t="s">
        <v>437</v>
      </c>
      <c r="J81" s="393" t="s">
        <v>354</v>
      </c>
      <c r="K81" s="393" t="s">
        <v>510</v>
      </c>
      <c r="L81" s="393" t="s">
        <v>351</v>
      </c>
      <c r="M81" s="390">
        <f>(mm_required2*F83*N(B12)*J63)/1000</f>
        <v>0</v>
      </c>
      <c r="N81" s="390">
        <f>$B$21/1000</f>
        <v>0</v>
      </c>
      <c r="O81" s="264" t="s">
        <v>519</v>
      </c>
      <c r="P81" s="393">
        <v>132</v>
      </c>
      <c r="Q81" s="264" t="s">
        <v>546</v>
      </c>
      <c r="R81" s="264">
        <v>100</v>
      </c>
      <c r="S81" s="279" t="s">
        <v>106</v>
      </c>
      <c r="T81" s="283">
        <f>T78+(2*T79)+(3*T80)</f>
        <v>1.0592196398931342</v>
      </c>
      <c r="U81" s="99" t="s">
        <v>443</v>
      </c>
      <c r="AB81" s="97"/>
      <c r="AC81" s="97"/>
      <c r="AD81" s="97"/>
      <c r="AE81" s="97"/>
      <c r="AF81" s="97"/>
      <c r="AG81" s="97"/>
      <c r="AH81" s="97"/>
      <c r="AI81" s="97"/>
      <c r="AJ81" s="97"/>
      <c r="AK81" s="97"/>
      <c r="AL81" s="97"/>
      <c r="AM81" s="97"/>
      <c r="AN81" s="97"/>
      <c r="AO81" s="97"/>
      <c r="AP81" s="97"/>
      <c r="AQ81" s="97"/>
      <c r="AR81" s="97"/>
      <c r="AS81" s="97"/>
      <c r="AT81" s="97"/>
      <c r="AU81" s="97"/>
      <c r="AV81" s="97"/>
      <c r="AW81" s="97"/>
      <c r="AX81" s="97"/>
      <c r="AY81" s="97"/>
      <c r="AZ81" s="97"/>
      <c r="BA81" s="97"/>
      <c r="BB81" s="97"/>
      <c r="BC81" s="97"/>
      <c r="BD81" s="97"/>
      <c r="BE81" s="97"/>
      <c r="BF81" s="97"/>
      <c r="BG81" s="97"/>
      <c r="BH81" s="97"/>
      <c r="BI81" s="97"/>
      <c r="BJ81" s="97"/>
      <c r="BK81" s="97"/>
      <c r="BL81" s="97"/>
      <c r="BM81" s="97"/>
      <c r="BN81" s="97"/>
      <c r="BO81" s="97"/>
      <c r="BP81" s="97"/>
      <c r="BQ81" s="97"/>
      <c r="BR81" s="97"/>
      <c r="BS81" s="97"/>
      <c r="BT81" s="97"/>
      <c r="BU81" s="97"/>
    </row>
    <row r="82" spans="1:73" s="145" customFormat="1" x14ac:dyDescent="0.2">
      <c r="A82" s="99">
        <v>9</v>
      </c>
      <c r="B82" s="394" t="s">
        <v>438</v>
      </c>
      <c r="C82" s="393">
        <v>1</v>
      </c>
      <c r="D82" s="393">
        <v>1</v>
      </c>
      <c r="E82" s="393">
        <v>1</v>
      </c>
      <c r="F82" s="393">
        <v>1</v>
      </c>
      <c r="G82" s="393">
        <v>1</v>
      </c>
      <c r="H82" s="393" t="s">
        <v>349</v>
      </c>
      <c r="I82" s="393" t="s">
        <v>436</v>
      </c>
      <c r="J82" s="393" t="s">
        <v>352</v>
      </c>
      <c r="K82" s="393" t="s">
        <v>511</v>
      </c>
      <c r="L82" s="393" t="s">
        <v>350</v>
      </c>
      <c r="M82" s="390">
        <f>VLOOKUP(A85,strtable2,3,FALSE)</f>
        <v>0</v>
      </c>
      <c r="N82" s="390">
        <f>$B$21*0.2029</f>
        <v>0</v>
      </c>
      <c r="O82" s="264" t="s">
        <v>679</v>
      </c>
      <c r="P82" s="393"/>
      <c r="Q82" s="144" t="s">
        <v>679</v>
      </c>
      <c r="R82" s="264">
        <v>1000</v>
      </c>
      <c r="S82" s="99"/>
      <c r="T82" s="99"/>
      <c r="U82" s="99"/>
      <c r="AB82" s="97"/>
      <c r="AC82" s="97"/>
      <c r="AD82" s="97"/>
      <c r="AE82" s="97"/>
      <c r="AF82" s="97"/>
      <c r="AG82" s="97"/>
      <c r="AH82" s="97"/>
      <c r="AI82" s="97"/>
      <c r="AJ82" s="97"/>
      <c r="AK82" s="97"/>
      <c r="AL82" s="97"/>
      <c r="AM82" s="97"/>
      <c r="AN82" s="97"/>
      <c r="AO82" s="97"/>
      <c r="AP82" s="97"/>
      <c r="AQ82" s="97"/>
      <c r="AR82" s="97"/>
      <c r="AS82" s="97"/>
      <c r="AT82" s="97"/>
      <c r="AU82" s="97"/>
      <c r="AV82" s="97"/>
      <c r="AW82" s="97"/>
      <c r="AX82" s="97"/>
      <c r="AY82" s="97"/>
      <c r="AZ82" s="97"/>
      <c r="BA82" s="97"/>
      <c r="BB82" s="97"/>
      <c r="BC82" s="97"/>
      <c r="BD82" s="97"/>
      <c r="BE82" s="97"/>
      <c r="BF82" s="97"/>
      <c r="BG82" s="97"/>
      <c r="BH82" s="97"/>
      <c r="BI82" s="97"/>
      <c r="BJ82" s="97"/>
      <c r="BK82" s="97"/>
      <c r="BL82" s="97"/>
      <c r="BM82" s="97"/>
      <c r="BN82" s="97"/>
      <c r="BO82" s="97"/>
      <c r="BP82" s="97"/>
      <c r="BQ82" s="97"/>
      <c r="BR82" s="97"/>
      <c r="BS82" s="97"/>
      <c r="BT82" s="97"/>
      <c r="BU82" s="97"/>
    </row>
    <row r="83" spans="1:73" s="145" customFormat="1" x14ac:dyDescent="0.2">
      <c r="A83" s="99"/>
      <c r="B83" s="393" t="str">
        <f>VLOOKUP($A$73,table2,2,FALSE)</f>
        <v>Phosphoric</v>
      </c>
      <c r="C83" s="393">
        <f>VLOOKUP($A$73,table2,3,FALSE)</f>
        <v>2.12</v>
      </c>
      <c r="D83" s="393">
        <f>VLOOKUP($A$73,table2,4,FALSE)</f>
        <v>7.2</v>
      </c>
      <c r="E83" s="393">
        <f>VLOOKUP($A$73,table2,5,FALSE)</f>
        <v>12.44</v>
      </c>
      <c r="F83" s="393">
        <f>VLOOKUP($A$73,table2,6,FALSE)</f>
        <v>98</v>
      </c>
      <c r="G83" s="393">
        <f>VLOOKUP($A$73,table2,7,FALSE)</f>
        <v>1053.6174620000002</v>
      </c>
      <c r="H83" s="393" t="str">
        <f>VLOOKUP($A$73,table2,8,FALSE)</f>
        <v>(ml)</v>
      </c>
      <c r="I83" s="393" t="str">
        <f>VLOOKUP($A$73,table2,9,FALSE)</f>
        <v>(tsp)</v>
      </c>
      <c r="J83" s="393" t="str">
        <f>VLOOKUP($A$73,table2,10,FALSE)</f>
        <v>Addition        (mL/gal)</v>
      </c>
      <c r="K83" s="393" t="str">
        <f>VLOOKUP($A$73,table2,11,FALSE)</f>
        <v>Phosphoric Acid Required =</v>
      </c>
      <c r="L83" s="393" t="str">
        <f>VLOOKUP($A$73,table2,12,FALSE)</f>
        <v>Total Acid Addition (ml)</v>
      </c>
      <c r="M83" s="393">
        <f>VLOOKUP($A$73,table2,13,FALSE)</f>
        <v>0</v>
      </c>
      <c r="N83" s="393">
        <f>VLOOKUP($A$73,table2,14,FALSE)</f>
        <v>0</v>
      </c>
      <c r="O83" s="393" t="str">
        <f>VLOOKUP($A$73,table2,15,FALSE)</f>
        <v>Phosphate Added to Water =</v>
      </c>
      <c r="P83" s="393">
        <f>VLOOKUP($A$73,table2,16,FALSE)</f>
        <v>95</v>
      </c>
      <c r="Q83" s="393" t="str">
        <f>VLOOKUP($A$73,table2,17,FALSE)</f>
        <v>(ppm) Phosphate Content</v>
      </c>
      <c r="R83" s="393">
        <f>VLOOKUP($A$73,table2,18,FALSE)</f>
        <v>1000</v>
      </c>
      <c r="S83" s="279" t="s">
        <v>512</v>
      </c>
      <c r="T83" s="402">
        <f>Acid_Required2/frac2</f>
        <v>0</v>
      </c>
      <c r="U83" s="99" t="s">
        <v>441</v>
      </c>
      <c r="AB83" s="97"/>
      <c r="AC83" s="97"/>
      <c r="AD83" s="97"/>
      <c r="AE83" s="97"/>
      <c r="AF83" s="97"/>
      <c r="AG83" s="97"/>
      <c r="AH83" s="97"/>
      <c r="AI83" s="97"/>
      <c r="AJ83" s="97"/>
      <c r="AK83" s="97"/>
      <c r="AL83" s="97"/>
      <c r="AM83" s="97"/>
      <c r="AN83" s="97"/>
      <c r="AO83" s="97"/>
      <c r="AP83" s="97"/>
      <c r="AQ83" s="97"/>
      <c r="AR83" s="97"/>
      <c r="AS83" s="97"/>
      <c r="AT83" s="97"/>
      <c r="AU83" s="97"/>
      <c r="AV83" s="97"/>
      <c r="AW83" s="97"/>
      <c r="AX83" s="97"/>
      <c r="AY83" s="97"/>
      <c r="AZ83" s="97"/>
      <c r="BA83" s="97"/>
      <c r="BB83" s="97"/>
      <c r="BC83" s="97"/>
      <c r="BD83" s="97"/>
      <c r="BE83" s="97"/>
      <c r="BF83" s="97"/>
      <c r="BG83" s="97"/>
      <c r="BH83" s="97"/>
      <c r="BI83" s="97"/>
      <c r="BJ83" s="97"/>
      <c r="BK83" s="97"/>
      <c r="BL83" s="97"/>
      <c r="BM83" s="97"/>
      <c r="BN83" s="97"/>
      <c r="BO83" s="97"/>
      <c r="BP83" s="97"/>
      <c r="BQ83" s="97"/>
      <c r="BR83" s="97"/>
      <c r="BS83" s="97"/>
      <c r="BT83" s="97"/>
      <c r="BU83" s="97"/>
    </row>
    <row r="84" spans="1:73" s="145" customFormat="1" x14ac:dyDescent="0.2">
      <c r="B84" s="144"/>
      <c r="C84" s="144"/>
      <c r="D84" s="144"/>
      <c r="E84" s="144"/>
      <c r="F84" s="144"/>
      <c r="G84" s="144"/>
      <c r="H84" s="144"/>
      <c r="I84" s="144"/>
      <c r="J84" s="144"/>
      <c r="K84" s="144"/>
      <c r="L84" s="144"/>
      <c r="M84" s="144"/>
      <c r="N84" s="144"/>
      <c r="O84" s="264">
        <f>mm_required2*$F$83*N($B$12)*J63</f>
        <v>0</v>
      </c>
      <c r="P84" s="393" t="s">
        <v>442</v>
      </c>
      <c r="Q84" s="144"/>
      <c r="AB84" s="97"/>
      <c r="AC84" s="97"/>
      <c r="AD84" s="97"/>
      <c r="AE84" s="97"/>
      <c r="AF84" s="97"/>
      <c r="AG84" s="97"/>
      <c r="AH84" s="97"/>
      <c r="AI84" s="97"/>
      <c r="AJ84" s="97"/>
      <c r="AK84" s="97"/>
      <c r="AL84" s="97"/>
      <c r="AM84" s="97"/>
      <c r="AN84" s="97"/>
      <c r="AO84" s="97"/>
      <c r="AP84" s="97"/>
      <c r="AQ84" s="97"/>
      <c r="AR84" s="97"/>
      <c r="AS84" s="97"/>
      <c r="AT84" s="97"/>
      <c r="AU84" s="97"/>
      <c r="AV84" s="97"/>
      <c r="AW84" s="97"/>
      <c r="AX84" s="97"/>
      <c r="AY84" s="97"/>
      <c r="AZ84" s="97"/>
      <c r="BA84" s="97"/>
      <c r="BB84" s="97"/>
      <c r="BC84" s="97"/>
      <c r="BD84" s="97"/>
      <c r="BE84" s="97"/>
      <c r="BF84" s="97"/>
      <c r="BG84" s="97"/>
      <c r="BH84" s="97"/>
      <c r="BI84" s="97"/>
      <c r="BJ84" s="97"/>
      <c r="BK84" s="97"/>
      <c r="BL84" s="97"/>
      <c r="BM84" s="97"/>
      <c r="BN84" s="97"/>
      <c r="BO84" s="97"/>
      <c r="BP84" s="97"/>
      <c r="BQ84" s="97"/>
      <c r="BR84" s="97"/>
      <c r="BS84" s="97"/>
      <c r="BT84" s="97"/>
      <c r="BU84" s="97"/>
    </row>
    <row r="85" spans="1:73" s="145" customFormat="1" x14ac:dyDescent="0.2">
      <c r="A85" s="99">
        <f>INDEX($A$86:$A$89, MATCH(C17,$B$86:$B$89,0))</f>
        <v>1</v>
      </c>
      <c r="B85" s="99"/>
      <c r="C85" s="99"/>
      <c r="D85" s="279" t="s">
        <v>439</v>
      </c>
      <c r="E85" s="279" t="s">
        <v>440</v>
      </c>
      <c r="F85" s="144"/>
      <c r="G85" s="144"/>
      <c r="H85" s="144"/>
      <c r="I85" s="144"/>
      <c r="J85" s="144"/>
      <c r="K85" s="144"/>
      <c r="L85" s="144"/>
      <c r="M85" s="144"/>
      <c r="N85" s="144"/>
      <c r="O85" s="144"/>
      <c r="P85" s="144"/>
      <c r="Q85" s="144"/>
      <c r="AB85" s="97"/>
      <c r="AC85" s="97"/>
      <c r="AD85" s="97"/>
      <c r="AE85" s="97"/>
      <c r="AF85" s="97"/>
      <c r="AG85" s="97"/>
      <c r="AH85" s="97"/>
      <c r="AI85" s="97"/>
      <c r="AJ85" s="97"/>
      <c r="AK85" s="97"/>
      <c r="AL85" s="97"/>
      <c r="AM85" s="97"/>
      <c r="AN85" s="97"/>
      <c r="AO85" s="97"/>
      <c r="AP85" s="97"/>
      <c r="AQ85" s="97"/>
      <c r="AR85" s="97"/>
      <c r="AS85" s="97"/>
      <c r="AT85" s="97"/>
      <c r="AU85" s="97"/>
      <c r="AV85" s="97"/>
      <c r="AW85" s="97"/>
      <c r="AX85" s="97"/>
      <c r="AY85" s="97"/>
      <c r="AZ85" s="97"/>
      <c r="BA85" s="97"/>
      <c r="BB85" s="97"/>
      <c r="BC85" s="97"/>
      <c r="BD85" s="97"/>
      <c r="BE85" s="97"/>
      <c r="BF85" s="97"/>
      <c r="BG85" s="97"/>
      <c r="BH85" s="97"/>
      <c r="BI85" s="97"/>
      <c r="BJ85" s="97"/>
      <c r="BK85" s="97"/>
      <c r="BL85" s="97"/>
      <c r="BM85" s="97"/>
      <c r="BN85" s="97"/>
      <c r="BO85" s="97"/>
      <c r="BP85" s="97"/>
      <c r="BQ85" s="97"/>
      <c r="BR85" s="97"/>
      <c r="BS85" s="97"/>
      <c r="BT85" s="97"/>
      <c r="BU85" s="97"/>
    </row>
    <row r="86" spans="1:73" s="145" customFormat="1" x14ac:dyDescent="0.2">
      <c r="A86" s="99">
        <v>1</v>
      </c>
      <c r="B86" s="394" t="s">
        <v>200</v>
      </c>
      <c r="C86" s="402">
        <f>IF($A$73=9,(Acid_Required2/3.657)*J63*N(B12),(((O84)/((N(F17)/100)*((VLOOKUP($A$73,table2,7,FALSE)))))))</f>
        <v>0</v>
      </c>
      <c r="D86" s="395">
        <f>IF($A$73=9,(C86*88.57)/($J$63*$B$12),mm_required2*96)</f>
        <v>0</v>
      </c>
      <c r="E86" s="395">
        <f>IF($A$73=9,(C86*64)/($J$63*$B$12),mm_required2*35.5)</f>
        <v>0</v>
      </c>
      <c r="F86" s="144"/>
      <c r="G86" s="144"/>
      <c r="H86" s="144"/>
      <c r="I86" s="144"/>
      <c r="J86" s="144"/>
      <c r="K86" s="144"/>
      <c r="L86" s="144"/>
      <c r="M86" s="144"/>
      <c r="N86" s="144"/>
      <c r="O86" s="144"/>
      <c r="P86" s="144"/>
      <c r="Q86" s="144"/>
      <c r="AB86" s="97"/>
      <c r="AC86" s="97"/>
      <c r="AD86" s="97"/>
      <c r="AE86" s="97"/>
      <c r="AF86" s="97"/>
      <c r="AG86" s="97"/>
      <c r="AH86" s="97"/>
      <c r="AI86" s="97"/>
      <c r="AJ86" s="97"/>
      <c r="AK86" s="97"/>
      <c r="AL86" s="97"/>
      <c r="AM86" s="97"/>
      <c r="AN86" s="97"/>
      <c r="AO86" s="97"/>
      <c r="AP86" s="97"/>
      <c r="AQ86" s="97"/>
      <c r="AR86" s="97"/>
      <c r="AS86" s="97"/>
      <c r="AT86" s="97"/>
      <c r="AU86" s="97"/>
      <c r="AV86" s="97"/>
      <c r="AW86" s="97"/>
      <c r="AX86" s="97"/>
      <c r="AY86" s="97"/>
      <c r="AZ86" s="97"/>
      <c r="BA86" s="97"/>
      <c r="BB86" s="97"/>
      <c r="BC86" s="97"/>
      <c r="BD86" s="97"/>
      <c r="BE86" s="97"/>
      <c r="BF86" s="97"/>
      <c r="BG86" s="97"/>
      <c r="BH86" s="97"/>
      <c r="BI86" s="97"/>
      <c r="BJ86" s="97"/>
      <c r="BK86" s="97"/>
      <c r="BL86" s="97"/>
      <c r="BM86" s="97"/>
      <c r="BN86" s="97"/>
      <c r="BO86" s="97"/>
      <c r="BP86" s="97"/>
      <c r="BQ86" s="97"/>
      <c r="BR86" s="97"/>
      <c r="BS86" s="97"/>
      <c r="BT86" s="97"/>
      <c r="BU86" s="97"/>
    </row>
    <row r="87" spans="1:73" s="145" customFormat="1" x14ac:dyDescent="0.2">
      <c r="A87" s="99">
        <v>2</v>
      </c>
      <c r="B87" s="394" t="s">
        <v>112</v>
      </c>
      <c r="C87" s="404">
        <f>IF($A$73=9,(Acid_Required2/3.657)*J63*N(B12),(Acid_Required2/F17)*(N(B12)*J63))</f>
        <v>0</v>
      </c>
      <c r="D87" s="395">
        <f>IF($A$73=9,(C87*88.57)/($J$63*$B$12),mm_required2*96)</f>
        <v>0</v>
      </c>
      <c r="E87" s="395">
        <f>IF($A$73=9,(C87*64)/($J$63*$B$12),mm_required2*35.5)</f>
        <v>0</v>
      </c>
      <c r="F87" s="144"/>
      <c r="G87" s="144"/>
      <c r="H87" s="144"/>
      <c r="I87" s="144"/>
      <c r="J87" s="144"/>
      <c r="K87" s="144"/>
      <c r="L87" s="144"/>
      <c r="M87" s="144"/>
      <c r="N87" s="144"/>
      <c r="O87" s="144"/>
      <c r="P87" s="144"/>
      <c r="Q87" s="144"/>
      <c r="AB87" s="97"/>
      <c r="AC87" s="97"/>
      <c r="AD87" s="97"/>
      <c r="AE87" s="97"/>
      <c r="AF87" s="97"/>
      <c r="AG87" s="97"/>
      <c r="AH87" s="97"/>
      <c r="AI87" s="97"/>
      <c r="AJ87" s="97"/>
      <c r="AK87" s="97"/>
      <c r="AL87" s="97"/>
      <c r="AM87" s="97"/>
      <c r="AN87" s="97"/>
      <c r="AO87" s="97"/>
      <c r="AP87" s="97"/>
      <c r="AQ87" s="97"/>
      <c r="AR87" s="97"/>
      <c r="AS87" s="97"/>
      <c r="AT87" s="97"/>
      <c r="AU87" s="97"/>
      <c r="AV87" s="97"/>
      <c r="AW87" s="97"/>
      <c r="AX87" s="97"/>
      <c r="AY87" s="97"/>
      <c r="AZ87" s="97"/>
      <c r="BA87" s="97"/>
      <c r="BB87" s="97"/>
      <c r="BC87" s="97"/>
      <c r="BD87" s="97"/>
      <c r="BE87" s="97"/>
      <c r="BF87" s="97"/>
      <c r="BG87" s="97"/>
      <c r="BH87" s="97"/>
      <c r="BI87" s="97"/>
      <c r="BJ87" s="97"/>
      <c r="BK87" s="97"/>
      <c r="BL87" s="97"/>
      <c r="BM87" s="97"/>
      <c r="BN87" s="97"/>
      <c r="BO87" s="97"/>
      <c r="BP87" s="97"/>
      <c r="BQ87" s="97"/>
      <c r="BR87" s="97"/>
      <c r="BS87" s="97"/>
      <c r="BT87" s="97"/>
      <c r="BU87" s="97"/>
    </row>
    <row r="88" spans="1:73" s="145" customFormat="1" x14ac:dyDescent="0.2">
      <c r="A88" s="99">
        <v>3</v>
      </c>
      <c r="B88" s="394" t="s">
        <v>201</v>
      </c>
      <c r="C88" s="404">
        <f>IF($A$73=9,(Acid_Required2/3.657)*J63*N(B12),(Acid_Required2/F17)*(N(B12)*J63)/frac2)</f>
        <v>0</v>
      </c>
      <c r="D88" s="395">
        <f>IF($A$73=9,(C88*88.57)/($J$63*$B$12),mm_required2*96)</f>
        <v>0</v>
      </c>
      <c r="E88" s="395">
        <f>IF($A$73=9,(C88*64)/($J$63*$B$12),mm_required2*35.5)</f>
        <v>0</v>
      </c>
      <c r="F88" s="144"/>
      <c r="G88" s="144"/>
      <c r="H88" s="144"/>
      <c r="I88" s="144"/>
      <c r="J88" s="144"/>
      <c r="K88" s="144"/>
      <c r="L88" s="144"/>
      <c r="M88" s="144"/>
      <c r="N88" s="144"/>
      <c r="O88" s="144"/>
      <c r="P88" s="144"/>
      <c r="Q88" s="144"/>
      <c r="AB88" s="97"/>
      <c r="AC88" s="97"/>
      <c r="AD88" s="97"/>
      <c r="AE88" s="97"/>
      <c r="AF88" s="97"/>
      <c r="AG88" s="97"/>
      <c r="AH88" s="97"/>
      <c r="AI88" s="97"/>
      <c r="AJ88" s="97"/>
      <c r="AK88" s="97"/>
      <c r="AL88" s="97"/>
      <c r="AM88" s="97"/>
      <c r="AN88" s="97"/>
      <c r="AO88" s="97"/>
      <c r="AP88" s="97"/>
      <c r="AQ88" s="97"/>
      <c r="AR88" s="97"/>
      <c r="AS88" s="97"/>
      <c r="AT88" s="97"/>
      <c r="AU88" s="97"/>
      <c r="AV88" s="97"/>
      <c r="AW88" s="97"/>
      <c r="AX88" s="97"/>
      <c r="AY88" s="97"/>
      <c r="AZ88" s="97"/>
      <c r="BA88" s="97"/>
      <c r="BB88" s="97"/>
      <c r="BC88" s="97"/>
      <c r="BD88" s="97"/>
      <c r="BE88" s="97"/>
      <c r="BF88" s="97"/>
      <c r="BG88" s="97"/>
      <c r="BH88" s="97"/>
      <c r="BI88" s="97"/>
      <c r="BJ88" s="97"/>
      <c r="BK88" s="97"/>
      <c r="BL88" s="97"/>
      <c r="BM88" s="97"/>
      <c r="BN88" s="97"/>
      <c r="BO88" s="97"/>
      <c r="BP88" s="97"/>
      <c r="BQ88" s="97"/>
      <c r="BR88" s="97"/>
      <c r="BS88" s="97"/>
      <c r="BT88" s="97"/>
      <c r="BU88" s="97"/>
    </row>
    <row r="89" spans="1:73" s="145" customFormat="1" x14ac:dyDescent="0.2">
      <c r="A89" s="403">
        <v>4</v>
      </c>
      <c r="B89" s="394" t="s">
        <v>353</v>
      </c>
      <c r="D89" s="144"/>
      <c r="E89" s="99"/>
      <c r="F89" s="144"/>
      <c r="G89" s="144"/>
      <c r="H89" s="144"/>
      <c r="I89" s="144"/>
      <c r="J89" s="144"/>
      <c r="K89" s="144"/>
      <c r="L89" s="144"/>
      <c r="M89" s="144"/>
      <c r="N89" s="144"/>
      <c r="O89" s="144"/>
      <c r="P89" s="144"/>
      <c r="AB89" s="97"/>
      <c r="AC89" s="97"/>
      <c r="AD89" s="97"/>
      <c r="AE89" s="97"/>
      <c r="AF89" s="97"/>
      <c r="AG89" s="97"/>
      <c r="AH89" s="97"/>
      <c r="AI89" s="97"/>
      <c r="AJ89" s="97"/>
      <c r="AK89" s="97"/>
      <c r="AL89" s="97"/>
      <c r="AM89" s="97"/>
      <c r="AN89" s="97"/>
      <c r="AO89" s="97"/>
      <c r="AP89" s="97"/>
      <c r="AQ89" s="97"/>
      <c r="AR89" s="97"/>
      <c r="AS89" s="97"/>
      <c r="AT89" s="97"/>
      <c r="AU89" s="97"/>
      <c r="AV89" s="97"/>
      <c r="AW89" s="97"/>
      <c r="AX89" s="97"/>
      <c r="AY89" s="97"/>
      <c r="AZ89" s="97"/>
      <c r="BA89" s="97"/>
      <c r="BB89" s="97"/>
      <c r="BC89" s="97"/>
      <c r="BD89" s="97"/>
      <c r="BE89" s="97"/>
      <c r="BF89" s="97"/>
      <c r="BG89" s="97"/>
      <c r="BH89" s="97"/>
      <c r="BI89" s="97"/>
      <c r="BJ89" s="97"/>
      <c r="BK89" s="97"/>
      <c r="BL89" s="97"/>
      <c r="BM89" s="97"/>
      <c r="BN89" s="97"/>
      <c r="BO89" s="97"/>
      <c r="BP89" s="97"/>
      <c r="BQ89" s="97"/>
      <c r="BR89" s="97"/>
      <c r="BS89" s="97"/>
      <c r="BT89" s="97"/>
      <c r="BU89" s="97"/>
    </row>
    <row r="90" spans="1:73" s="145" customFormat="1" x14ac:dyDescent="0.2">
      <c r="A90" s="403"/>
      <c r="B90" s="393" t="str">
        <f>VLOOKUP($A$85,strtable2,2,FALSE)</f>
        <v>%</v>
      </c>
      <c r="D90" s="144"/>
      <c r="E90" s="99"/>
      <c r="F90" s="144"/>
      <c r="G90" s="144"/>
      <c r="H90" s="144"/>
      <c r="I90" s="144"/>
      <c r="J90" s="144"/>
      <c r="K90" s="144"/>
      <c r="L90" s="144"/>
      <c r="M90" s="144"/>
      <c r="N90" s="144"/>
      <c r="O90" s="144"/>
      <c r="P90" s="144"/>
      <c r="AB90" s="97"/>
      <c r="AC90" s="97"/>
      <c r="AD90" s="97"/>
      <c r="AE90" s="97"/>
      <c r="AF90" s="97"/>
      <c r="AG90" s="97"/>
      <c r="AH90" s="97"/>
      <c r="AI90" s="97"/>
      <c r="AJ90" s="97"/>
      <c r="AK90" s="97"/>
      <c r="AL90" s="97"/>
      <c r="AM90" s="97"/>
      <c r="AN90" s="97"/>
      <c r="AO90" s="97"/>
      <c r="AP90" s="97"/>
      <c r="AQ90" s="97"/>
      <c r="AR90" s="97"/>
      <c r="AS90" s="97"/>
      <c r="AT90" s="97"/>
      <c r="AU90" s="97"/>
      <c r="AV90" s="97"/>
      <c r="AW90" s="97"/>
      <c r="AX90" s="97"/>
      <c r="AY90" s="97"/>
      <c r="AZ90" s="97"/>
      <c r="BA90" s="97"/>
      <c r="BB90" s="97"/>
      <c r="BC90" s="97"/>
      <c r="BD90" s="97"/>
      <c r="BE90" s="97"/>
      <c r="BF90" s="97"/>
      <c r="BG90" s="97"/>
      <c r="BH90" s="97"/>
      <c r="BI90" s="97"/>
      <c r="BJ90" s="97"/>
      <c r="BK90" s="97"/>
      <c r="BL90" s="97"/>
      <c r="BM90" s="97"/>
      <c r="BN90" s="97"/>
      <c r="BO90" s="97"/>
      <c r="BP90" s="97"/>
      <c r="BQ90" s="97"/>
      <c r="BR90" s="97"/>
      <c r="BS90" s="97"/>
      <c r="BT90" s="97"/>
      <c r="BU90" s="97"/>
    </row>
    <row r="91" spans="1:73" s="145" customFormat="1" x14ac:dyDescent="0.2">
      <c r="AB91" s="97"/>
      <c r="AC91" s="97"/>
      <c r="AD91" s="97"/>
      <c r="AE91" s="97"/>
      <c r="AF91" s="97"/>
      <c r="AG91" s="97"/>
      <c r="AH91" s="97"/>
      <c r="AI91" s="97"/>
      <c r="AJ91" s="97"/>
      <c r="AK91" s="97"/>
      <c r="AL91" s="97"/>
      <c r="AM91" s="97"/>
      <c r="AN91" s="97"/>
      <c r="AO91" s="97"/>
      <c r="AP91" s="97"/>
      <c r="AQ91" s="97"/>
      <c r="AR91" s="97"/>
      <c r="AS91" s="97"/>
      <c r="AT91" s="97"/>
      <c r="AU91" s="97"/>
      <c r="AV91" s="97"/>
      <c r="AW91" s="97"/>
      <c r="AX91" s="97"/>
      <c r="AY91" s="97"/>
      <c r="AZ91" s="97"/>
      <c r="BA91" s="97"/>
      <c r="BB91" s="97"/>
      <c r="BC91" s="97"/>
      <c r="BD91" s="97"/>
      <c r="BE91" s="97"/>
      <c r="BF91" s="97"/>
      <c r="BG91" s="97"/>
      <c r="BH91" s="97"/>
      <c r="BI91" s="97"/>
      <c r="BJ91" s="97"/>
      <c r="BK91" s="97"/>
      <c r="BL91" s="97"/>
      <c r="BM91" s="97"/>
      <c r="BN91" s="97"/>
      <c r="BO91" s="97"/>
      <c r="BP91" s="97"/>
      <c r="BQ91" s="97"/>
      <c r="BR91" s="97"/>
      <c r="BS91" s="97"/>
      <c r="BT91" s="97"/>
      <c r="BU91" s="97"/>
    </row>
    <row r="92" spans="1:73" s="145" customFormat="1" x14ac:dyDescent="0.2">
      <c r="AB92" s="97"/>
      <c r="AC92" s="97"/>
      <c r="AD92" s="97"/>
      <c r="AE92" s="97"/>
      <c r="AF92" s="97"/>
      <c r="AG92" s="97"/>
      <c r="AH92" s="97"/>
      <c r="AI92" s="97"/>
      <c r="AJ92" s="97"/>
      <c r="AK92" s="97"/>
      <c r="AL92" s="97"/>
      <c r="AM92" s="97"/>
      <c r="AN92" s="97"/>
      <c r="AO92" s="97"/>
      <c r="AP92" s="97"/>
      <c r="AQ92" s="97"/>
      <c r="AR92" s="97"/>
      <c r="AS92" s="97"/>
      <c r="AT92" s="97"/>
      <c r="AU92" s="97"/>
      <c r="AV92" s="97"/>
      <c r="AW92" s="97"/>
      <c r="AX92" s="97"/>
      <c r="AY92" s="97"/>
      <c r="AZ92" s="97"/>
      <c r="BA92" s="97"/>
      <c r="BB92" s="97"/>
      <c r="BC92" s="97"/>
      <c r="BD92" s="97"/>
      <c r="BE92" s="97"/>
      <c r="BF92" s="97"/>
      <c r="BG92" s="97"/>
      <c r="BH92" s="97"/>
      <c r="BI92" s="97"/>
      <c r="BJ92" s="97"/>
      <c r="BK92" s="97"/>
      <c r="BL92" s="97"/>
      <c r="BM92" s="97"/>
      <c r="BN92" s="97"/>
      <c r="BO92" s="97"/>
      <c r="BP92" s="97"/>
      <c r="BQ92" s="97"/>
      <c r="BR92" s="97"/>
      <c r="BS92" s="97"/>
      <c r="BT92" s="97"/>
      <c r="BU92" s="97"/>
    </row>
    <row r="93" spans="1:73" s="145" customFormat="1" x14ac:dyDescent="0.2">
      <c r="AB93" s="97"/>
      <c r="AC93" s="97"/>
      <c r="AD93" s="97"/>
      <c r="AE93" s="97"/>
      <c r="AF93" s="97"/>
      <c r="AG93" s="97"/>
      <c r="AH93" s="97"/>
      <c r="AI93" s="97"/>
      <c r="AJ93" s="97"/>
      <c r="AK93" s="97"/>
      <c r="AL93" s="97"/>
      <c r="AM93" s="97"/>
      <c r="AN93" s="97"/>
      <c r="AO93" s="97"/>
      <c r="AP93" s="97"/>
      <c r="AQ93" s="97"/>
      <c r="AR93" s="97"/>
      <c r="AS93" s="97"/>
      <c r="AT93" s="97"/>
      <c r="AU93" s="97"/>
      <c r="AV93" s="97"/>
      <c r="AW93" s="97"/>
      <c r="AX93" s="97"/>
      <c r="AY93" s="97"/>
      <c r="AZ93" s="97"/>
      <c r="BA93" s="97"/>
      <c r="BB93" s="97"/>
      <c r="BC93" s="97"/>
      <c r="BD93" s="97"/>
      <c r="BE93" s="97"/>
      <c r="BF93" s="97"/>
      <c r="BG93" s="97"/>
      <c r="BH93" s="97"/>
      <c r="BI93" s="97"/>
      <c r="BJ93" s="97"/>
      <c r="BK93" s="97"/>
      <c r="BL93" s="97"/>
      <c r="BM93" s="97"/>
      <c r="BN93" s="97"/>
      <c r="BO93" s="97"/>
      <c r="BP93" s="97"/>
      <c r="BQ93" s="97"/>
      <c r="BR93" s="97"/>
      <c r="BS93" s="97"/>
      <c r="BT93" s="97"/>
      <c r="BU93" s="97"/>
    </row>
    <row r="94" spans="1:73" s="145" customFormat="1" x14ac:dyDescent="0.2">
      <c r="AB94" s="97"/>
      <c r="AC94" s="97"/>
      <c r="AD94" s="97"/>
      <c r="AE94" s="97"/>
      <c r="AF94" s="97"/>
      <c r="AG94" s="97"/>
      <c r="AH94" s="97"/>
      <c r="AI94" s="97"/>
      <c r="AJ94" s="97"/>
      <c r="AK94" s="97"/>
      <c r="AL94" s="97"/>
      <c r="AM94" s="97"/>
      <c r="AN94" s="97"/>
      <c r="AO94" s="97"/>
      <c r="AP94" s="97"/>
      <c r="AQ94" s="97"/>
      <c r="AR94" s="97"/>
      <c r="AS94" s="97"/>
      <c r="AT94" s="97"/>
      <c r="AU94" s="97"/>
      <c r="AV94" s="97"/>
      <c r="AW94" s="97"/>
      <c r="AX94" s="97"/>
      <c r="AY94" s="97"/>
      <c r="AZ94" s="97"/>
      <c r="BA94" s="97"/>
      <c r="BB94" s="97"/>
      <c r="BC94" s="97"/>
      <c r="BD94" s="97"/>
      <c r="BE94" s="97"/>
      <c r="BF94" s="97"/>
      <c r="BG94" s="97"/>
      <c r="BH94" s="97"/>
      <c r="BI94" s="97"/>
      <c r="BJ94" s="97"/>
      <c r="BK94" s="97"/>
      <c r="BL94" s="97"/>
      <c r="BM94" s="97"/>
      <c r="BN94" s="97"/>
      <c r="BO94" s="97"/>
      <c r="BP94" s="97"/>
      <c r="BQ94" s="97"/>
      <c r="BR94" s="97"/>
      <c r="BS94" s="97"/>
      <c r="BT94" s="97"/>
      <c r="BU94" s="97"/>
    </row>
    <row r="95" spans="1:73" s="145" customFormat="1" x14ac:dyDescent="0.2">
      <c r="AB95" s="97"/>
      <c r="AC95" s="97"/>
      <c r="AD95" s="97"/>
      <c r="AE95" s="97"/>
      <c r="AF95" s="97"/>
      <c r="AG95" s="97"/>
      <c r="AH95" s="97"/>
      <c r="AI95" s="97"/>
      <c r="AJ95" s="97"/>
      <c r="AK95" s="97"/>
      <c r="AL95" s="97"/>
      <c r="AM95" s="97"/>
      <c r="AN95" s="97"/>
      <c r="AO95" s="97"/>
      <c r="AP95" s="97"/>
      <c r="AQ95" s="97"/>
      <c r="AR95" s="97"/>
      <c r="AS95" s="97"/>
      <c r="AT95" s="97"/>
      <c r="AU95" s="97"/>
      <c r="AV95" s="97"/>
      <c r="AW95" s="97"/>
      <c r="AX95" s="97"/>
      <c r="AY95" s="97"/>
      <c r="AZ95" s="97"/>
      <c r="BA95" s="97"/>
      <c r="BB95" s="97"/>
      <c r="BC95" s="97"/>
      <c r="BD95" s="97"/>
      <c r="BE95" s="97"/>
      <c r="BF95" s="97"/>
      <c r="BG95" s="97"/>
      <c r="BH95" s="97"/>
      <c r="BI95" s="97"/>
      <c r="BJ95" s="97"/>
      <c r="BK95" s="97"/>
      <c r="BL95" s="97"/>
      <c r="BM95" s="97"/>
      <c r="BN95" s="97"/>
      <c r="BO95" s="97"/>
      <c r="BP95" s="97"/>
      <c r="BQ95" s="97"/>
      <c r="BR95" s="97"/>
      <c r="BS95" s="97"/>
      <c r="BT95" s="97"/>
      <c r="BU95" s="97"/>
    </row>
    <row r="96" spans="1:73" s="145" customFormat="1" x14ac:dyDescent="0.2">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7"/>
      <c r="BN96" s="97"/>
      <c r="BO96" s="97"/>
      <c r="BP96" s="97"/>
      <c r="BQ96" s="97"/>
      <c r="BR96" s="97"/>
      <c r="BS96" s="97"/>
      <c r="BT96" s="97"/>
      <c r="BU96" s="97"/>
    </row>
    <row r="97" spans="1:73" s="145" customFormat="1" x14ac:dyDescent="0.2">
      <c r="AB97" s="97"/>
      <c r="AC97" s="97"/>
      <c r="AD97" s="97"/>
      <c r="AE97" s="97"/>
      <c r="AF97" s="97"/>
      <c r="AG97" s="97"/>
      <c r="AH97" s="97"/>
      <c r="AI97" s="97"/>
      <c r="AJ97" s="97"/>
      <c r="AK97" s="97"/>
      <c r="AL97" s="97"/>
      <c r="AM97" s="97"/>
      <c r="AN97" s="97"/>
      <c r="AO97" s="97"/>
      <c r="AP97" s="97"/>
      <c r="AQ97" s="97"/>
      <c r="AR97" s="97"/>
      <c r="AS97" s="97"/>
      <c r="AT97" s="97"/>
      <c r="AU97" s="97"/>
      <c r="AV97" s="97"/>
      <c r="AW97" s="97"/>
      <c r="AX97" s="97"/>
      <c r="AY97" s="97"/>
      <c r="AZ97" s="97"/>
      <c r="BA97" s="97"/>
      <c r="BB97" s="97"/>
      <c r="BC97" s="97"/>
      <c r="BD97" s="97"/>
      <c r="BE97" s="97"/>
      <c r="BF97" s="97"/>
      <c r="BG97" s="97"/>
      <c r="BH97" s="97"/>
      <c r="BI97" s="97"/>
      <c r="BJ97" s="97"/>
      <c r="BK97" s="97"/>
      <c r="BL97" s="97"/>
      <c r="BM97" s="97"/>
      <c r="BN97" s="97"/>
      <c r="BO97" s="97"/>
      <c r="BP97" s="97"/>
      <c r="BQ97" s="97"/>
      <c r="BR97" s="97"/>
      <c r="BS97" s="97"/>
      <c r="BT97" s="97"/>
      <c r="BU97" s="97"/>
    </row>
    <row r="98" spans="1:73" s="145" customFormat="1" x14ac:dyDescent="0.2">
      <c r="AB98" s="97"/>
      <c r="AC98" s="97"/>
      <c r="AD98" s="97"/>
      <c r="AE98" s="97"/>
      <c r="AF98" s="97"/>
      <c r="AG98" s="97"/>
      <c r="AH98" s="97"/>
      <c r="AI98" s="97"/>
      <c r="AJ98" s="97"/>
      <c r="AK98" s="97"/>
      <c r="AL98" s="97"/>
      <c r="AM98" s="97"/>
      <c r="AN98" s="97"/>
      <c r="AO98" s="97"/>
      <c r="AP98" s="97"/>
      <c r="AQ98" s="97"/>
      <c r="AR98" s="97"/>
      <c r="AS98" s="97"/>
      <c r="AT98" s="97"/>
      <c r="AU98" s="97"/>
      <c r="AV98" s="97"/>
      <c r="AW98" s="97"/>
      <c r="AX98" s="97"/>
      <c r="AY98" s="97"/>
      <c r="AZ98" s="97"/>
      <c r="BA98" s="97"/>
      <c r="BB98" s="97"/>
      <c r="BC98" s="97"/>
      <c r="BD98" s="97"/>
      <c r="BE98" s="97"/>
      <c r="BF98" s="97"/>
      <c r="BG98" s="97"/>
      <c r="BH98" s="97"/>
      <c r="BI98" s="97"/>
      <c r="BJ98" s="97"/>
      <c r="BK98" s="97"/>
      <c r="BL98" s="97"/>
      <c r="BM98" s="97"/>
      <c r="BN98" s="97"/>
      <c r="BO98" s="97"/>
      <c r="BP98" s="97"/>
      <c r="BQ98" s="97"/>
      <c r="BR98" s="97"/>
      <c r="BS98" s="97"/>
      <c r="BT98" s="97"/>
      <c r="BU98" s="97"/>
    </row>
    <row r="99" spans="1:73" s="145" customFormat="1" x14ac:dyDescent="0.2">
      <c r="AB99" s="97"/>
      <c r="AC99" s="97"/>
      <c r="AD99" s="97"/>
      <c r="AE99" s="97"/>
      <c r="AF99" s="97"/>
      <c r="AG99" s="97"/>
      <c r="AH99" s="97"/>
      <c r="AI99" s="97"/>
      <c r="AJ99" s="97"/>
      <c r="AK99" s="97"/>
      <c r="AL99" s="97"/>
      <c r="AM99" s="97"/>
      <c r="AN99" s="97"/>
      <c r="AO99" s="97"/>
      <c r="AP99" s="97"/>
      <c r="AQ99" s="97"/>
      <c r="AR99" s="97"/>
      <c r="AS99" s="97"/>
      <c r="AT99" s="97"/>
      <c r="AU99" s="97"/>
      <c r="AV99" s="97"/>
      <c r="AW99" s="97"/>
      <c r="AX99" s="97"/>
      <c r="AY99" s="97"/>
      <c r="AZ99" s="97"/>
      <c r="BA99" s="97"/>
      <c r="BB99" s="97"/>
      <c r="BC99" s="97"/>
      <c r="BD99" s="97"/>
      <c r="BE99" s="97"/>
      <c r="BF99" s="97"/>
      <c r="BG99" s="97"/>
      <c r="BH99" s="97"/>
      <c r="BI99" s="97"/>
      <c r="BJ99" s="97"/>
      <c r="BK99" s="97"/>
      <c r="BL99" s="97"/>
      <c r="BM99" s="97"/>
      <c r="BN99" s="97"/>
      <c r="BO99" s="97"/>
      <c r="BP99" s="97"/>
      <c r="BQ99" s="97"/>
      <c r="BR99" s="97"/>
      <c r="BS99" s="97"/>
      <c r="BT99" s="97"/>
      <c r="BU99" s="97"/>
    </row>
    <row r="100" spans="1:73" s="145" customFormat="1" x14ac:dyDescent="0.2">
      <c r="AB100" s="97"/>
      <c r="AC100" s="97"/>
      <c r="AD100" s="97"/>
      <c r="AE100" s="97"/>
      <c r="AF100" s="97"/>
      <c r="AG100" s="97"/>
      <c r="AH100" s="97"/>
      <c r="AI100" s="97"/>
      <c r="AJ100" s="97"/>
      <c r="AK100" s="97"/>
      <c r="AL100" s="97"/>
      <c r="AM100" s="97"/>
      <c r="AN100" s="97"/>
      <c r="AO100" s="97"/>
      <c r="AP100" s="97"/>
      <c r="AQ100" s="97"/>
      <c r="AR100" s="97"/>
      <c r="AS100" s="97"/>
      <c r="AT100" s="97"/>
      <c r="AU100" s="97"/>
      <c r="AV100" s="97"/>
      <c r="AW100" s="97"/>
      <c r="AX100" s="97"/>
      <c r="AY100" s="97"/>
      <c r="AZ100" s="97"/>
      <c r="BA100" s="97"/>
      <c r="BB100" s="97"/>
      <c r="BC100" s="97"/>
      <c r="BD100" s="97"/>
      <c r="BE100" s="97"/>
      <c r="BF100" s="97"/>
      <c r="BG100" s="97"/>
      <c r="BH100" s="97"/>
      <c r="BI100" s="97"/>
      <c r="BJ100" s="97"/>
      <c r="BK100" s="97"/>
      <c r="BL100" s="97"/>
      <c r="BM100" s="97"/>
      <c r="BN100" s="97"/>
      <c r="BO100" s="97"/>
      <c r="BP100" s="97"/>
      <c r="BQ100" s="97"/>
      <c r="BR100" s="97"/>
      <c r="BS100" s="97"/>
      <c r="BT100" s="97"/>
      <c r="BU100" s="97"/>
    </row>
    <row r="101" spans="1:73" s="145" customFormat="1" x14ac:dyDescent="0.2"/>
    <row r="102" spans="1:73" s="145" customFormat="1" x14ac:dyDescent="0.2"/>
    <row r="103" spans="1:73" x14ac:dyDescent="0.2">
      <c r="A103" s="145"/>
      <c r="B103" s="145"/>
      <c r="C103" s="145"/>
      <c r="D103" s="145"/>
      <c r="E103" s="145"/>
      <c r="F103" s="145"/>
      <c r="G103" s="145"/>
      <c r="H103" s="145"/>
      <c r="I103" s="145"/>
      <c r="J103" s="145"/>
      <c r="K103" s="145"/>
      <c r="L103" s="145"/>
      <c r="M103" s="145"/>
      <c r="N103" s="145"/>
      <c r="O103" s="145"/>
      <c r="P103" s="145"/>
      <c r="Q103" s="145"/>
      <c r="R103" s="145"/>
      <c r="S103" s="145"/>
      <c r="T103" s="145"/>
      <c r="U103" s="145"/>
      <c r="V103" s="145"/>
      <c r="W103" s="145"/>
      <c r="X103" s="145"/>
      <c r="Y103" s="145"/>
      <c r="Z103" s="145"/>
      <c r="AA103" s="145"/>
      <c r="AB103" s="145"/>
      <c r="AC103" s="145"/>
      <c r="AD103" s="145"/>
      <c r="AE103" s="145"/>
    </row>
    <row r="104" spans="1:73" x14ac:dyDescent="0.2">
      <c r="A104" s="145"/>
      <c r="B104" s="145"/>
      <c r="C104" s="145"/>
      <c r="D104" s="145"/>
      <c r="E104" s="145"/>
      <c r="F104" s="145"/>
      <c r="G104" s="145"/>
      <c r="H104" s="145"/>
      <c r="I104" s="145"/>
      <c r="J104" s="145"/>
      <c r="K104" s="145"/>
      <c r="L104" s="145"/>
      <c r="M104" s="145"/>
      <c r="N104" s="145"/>
      <c r="O104" s="145"/>
      <c r="P104" s="145"/>
      <c r="Q104" s="145"/>
      <c r="R104" s="145"/>
      <c r="S104" s="145"/>
      <c r="T104" s="145"/>
      <c r="U104" s="145"/>
      <c r="V104" s="145"/>
      <c r="W104" s="145"/>
      <c r="X104" s="145"/>
      <c r="Y104" s="145"/>
      <c r="Z104" s="145"/>
      <c r="AA104" s="145"/>
      <c r="AB104" s="145"/>
      <c r="AC104" s="145"/>
      <c r="AD104" s="145"/>
      <c r="AE104" s="145"/>
    </row>
    <row r="105" spans="1:73" x14ac:dyDescent="0.2">
      <c r="A105" s="145"/>
      <c r="B105" s="145"/>
      <c r="C105" s="145"/>
      <c r="D105" s="145"/>
      <c r="E105" s="145"/>
      <c r="F105" s="145"/>
      <c r="G105" s="145"/>
      <c r="H105" s="145"/>
      <c r="I105" s="145"/>
      <c r="J105" s="145"/>
      <c r="K105" s="145"/>
      <c r="L105" s="145"/>
      <c r="M105" s="145"/>
      <c r="N105" s="145"/>
      <c r="O105" s="145"/>
      <c r="P105" s="145"/>
      <c r="Q105" s="145"/>
      <c r="R105" s="145"/>
      <c r="S105" s="145"/>
      <c r="T105" s="145"/>
      <c r="U105" s="145"/>
      <c r="V105" s="145"/>
      <c r="W105" s="145"/>
      <c r="X105" s="145"/>
      <c r="Y105" s="145"/>
      <c r="Z105" s="145"/>
      <c r="AA105" s="145"/>
      <c r="AB105" s="145"/>
      <c r="AC105" s="145"/>
      <c r="AD105" s="145"/>
      <c r="AE105" s="145"/>
    </row>
    <row r="106" spans="1:73" x14ac:dyDescent="0.2">
      <c r="A106" s="145"/>
      <c r="B106" s="145"/>
      <c r="C106" s="145"/>
      <c r="D106" s="145"/>
      <c r="E106" s="145"/>
      <c r="F106" s="145"/>
      <c r="G106" s="145"/>
      <c r="H106" s="145"/>
      <c r="I106" s="145"/>
      <c r="J106" s="145"/>
      <c r="K106" s="145"/>
      <c r="L106" s="145"/>
      <c r="M106" s="145"/>
      <c r="N106" s="145"/>
      <c r="O106" s="145"/>
      <c r="P106" s="145"/>
      <c r="Q106" s="145"/>
      <c r="R106" s="145"/>
      <c r="S106" s="145"/>
      <c r="T106" s="145"/>
      <c r="U106" s="145"/>
      <c r="V106" s="145"/>
      <c r="W106" s="145"/>
      <c r="X106" s="145"/>
      <c r="Y106" s="145"/>
      <c r="Z106" s="145"/>
      <c r="AA106" s="145"/>
      <c r="AB106" s="145"/>
      <c r="AC106" s="145"/>
      <c r="AD106" s="145"/>
      <c r="AE106" s="145"/>
    </row>
    <row r="107" spans="1:73" x14ac:dyDescent="0.2">
      <c r="A107" s="145"/>
      <c r="B107" s="145"/>
      <c r="C107" s="145"/>
      <c r="D107" s="145"/>
      <c r="E107" s="145"/>
      <c r="F107" s="145"/>
      <c r="G107" s="145"/>
      <c r="H107" s="145"/>
      <c r="I107" s="145"/>
      <c r="J107" s="145"/>
      <c r="K107" s="145"/>
      <c r="L107" s="145"/>
      <c r="M107" s="145"/>
      <c r="N107" s="145"/>
      <c r="O107" s="145"/>
      <c r="P107" s="145"/>
      <c r="Q107" s="145"/>
      <c r="R107" s="145"/>
      <c r="S107" s="145"/>
      <c r="T107" s="145"/>
      <c r="U107" s="145"/>
      <c r="V107" s="145"/>
      <c r="W107" s="145"/>
      <c r="X107" s="145"/>
      <c r="Y107" s="145"/>
      <c r="Z107" s="145"/>
      <c r="AA107" s="145"/>
      <c r="AB107" s="145"/>
      <c r="AC107" s="145"/>
      <c r="AD107" s="145"/>
      <c r="AE107" s="145"/>
    </row>
    <row r="108" spans="1:73" x14ac:dyDescent="0.2">
      <c r="A108" s="145"/>
      <c r="B108" s="145"/>
      <c r="C108" s="145"/>
      <c r="D108" s="145"/>
      <c r="E108" s="145"/>
      <c r="F108" s="145"/>
      <c r="G108" s="145"/>
      <c r="H108" s="145"/>
      <c r="I108" s="145"/>
      <c r="J108" s="145"/>
      <c r="K108" s="145"/>
      <c r="L108" s="145"/>
      <c r="M108" s="145"/>
      <c r="N108" s="145"/>
      <c r="O108" s="145"/>
      <c r="P108" s="145"/>
      <c r="Q108" s="145"/>
      <c r="R108" s="145"/>
      <c r="S108" s="145"/>
      <c r="T108" s="145"/>
      <c r="U108" s="145"/>
      <c r="V108" s="145"/>
      <c r="W108" s="145"/>
      <c r="X108" s="145"/>
      <c r="Y108" s="145"/>
      <c r="Z108" s="145"/>
      <c r="AA108" s="145"/>
      <c r="AB108" s="145"/>
      <c r="AC108" s="145"/>
      <c r="AD108" s="145"/>
      <c r="AE108" s="145"/>
    </row>
    <row r="109" spans="1:73" x14ac:dyDescent="0.2">
      <c r="A109" s="145"/>
      <c r="B109" s="145"/>
      <c r="C109" s="145"/>
      <c r="D109" s="145"/>
      <c r="E109" s="145"/>
      <c r="F109" s="145"/>
      <c r="G109" s="145"/>
      <c r="H109" s="145"/>
      <c r="I109" s="145"/>
      <c r="J109" s="145"/>
      <c r="K109" s="145"/>
      <c r="L109" s="145"/>
      <c r="M109" s="145"/>
      <c r="N109" s="145"/>
      <c r="O109" s="145"/>
      <c r="P109" s="145"/>
      <c r="Q109" s="145"/>
      <c r="R109" s="145"/>
      <c r="S109" s="145"/>
      <c r="T109" s="145"/>
      <c r="U109" s="145"/>
      <c r="V109" s="145"/>
      <c r="W109" s="145"/>
      <c r="X109" s="145"/>
      <c r="Y109" s="145"/>
      <c r="Z109" s="145"/>
      <c r="AA109" s="145"/>
      <c r="AB109" s="145"/>
      <c r="AC109" s="145"/>
      <c r="AD109" s="145"/>
      <c r="AE109" s="145"/>
    </row>
    <row r="110" spans="1:73" x14ac:dyDescent="0.2">
      <c r="A110" s="145"/>
      <c r="B110" s="145"/>
      <c r="C110" s="145"/>
      <c r="D110" s="145"/>
      <c r="E110" s="145"/>
      <c r="F110" s="145"/>
      <c r="G110" s="145"/>
      <c r="H110" s="145"/>
      <c r="I110" s="145"/>
      <c r="J110" s="145"/>
      <c r="K110" s="145"/>
      <c r="L110" s="145"/>
      <c r="M110" s="145"/>
      <c r="N110" s="145"/>
      <c r="O110" s="145"/>
      <c r="P110" s="145"/>
      <c r="Q110" s="145"/>
      <c r="R110" s="145"/>
      <c r="S110" s="145"/>
      <c r="T110" s="145"/>
      <c r="U110" s="145"/>
      <c r="V110" s="145"/>
      <c r="W110" s="145"/>
      <c r="X110" s="145"/>
      <c r="Y110" s="145"/>
      <c r="Z110" s="145"/>
      <c r="AA110" s="145"/>
      <c r="AB110" s="145"/>
      <c r="AC110" s="145"/>
      <c r="AD110" s="145"/>
      <c r="AE110" s="145"/>
    </row>
    <row r="111" spans="1:73" x14ac:dyDescent="0.2">
      <c r="A111" s="145"/>
      <c r="B111" s="145"/>
      <c r="C111" s="145"/>
      <c r="D111" s="145"/>
      <c r="E111" s="145"/>
      <c r="F111" s="145"/>
      <c r="G111" s="145"/>
      <c r="H111" s="145"/>
      <c r="I111" s="145"/>
      <c r="J111" s="145"/>
      <c r="K111" s="145"/>
      <c r="L111" s="145"/>
      <c r="M111" s="145"/>
      <c r="N111" s="145"/>
      <c r="O111" s="145"/>
      <c r="P111" s="145"/>
      <c r="Q111" s="145"/>
      <c r="R111" s="145"/>
      <c r="S111" s="145"/>
      <c r="T111" s="145"/>
      <c r="U111" s="145"/>
      <c r="V111" s="145"/>
      <c r="W111" s="145"/>
      <c r="X111" s="145"/>
      <c r="Y111" s="145"/>
      <c r="Z111" s="145"/>
      <c r="AA111" s="145"/>
      <c r="AB111" s="145"/>
      <c r="AC111" s="145"/>
      <c r="AD111" s="145"/>
      <c r="AE111" s="145"/>
    </row>
  </sheetData>
  <sheetProtection password="B2EA" sheet="1" objects="1" scenarios="1" formatColumns="0" formatRows="0" selectLockedCells="1"/>
  <mergeCells count="17">
    <mergeCell ref="A2:D2"/>
    <mergeCell ref="B1:D1"/>
    <mergeCell ref="A29:D29"/>
    <mergeCell ref="A18:D18"/>
    <mergeCell ref="A4:D4"/>
    <mergeCell ref="A3:D3"/>
    <mergeCell ref="C5:D5"/>
    <mergeCell ref="C6:D6"/>
    <mergeCell ref="A27:D27"/>
    <mergeCell ref="A28:D28"/>
    <mergeCell ref="A30:D30"/>
    <mergeCell ref="A26:D26"/>
    <mergeCell ref="C8:D8"/>
    <mergeCell ref="C7:D7"/>
    <mergeCell ref="C9:D9"/>
    <mergeCell ref="C10:D10"/>
    <mergeCell ref="C11:D11"/>
  </mergeCells>
  <phoneticPr fontId="7" type="noConversion"/>
  <conditionalFormatting sqref="B12">
    <cfRule type="expression" dxfId="95" priority="24" stopIfTrue="1">
      <formula>B12=1</formula>
    </cfRule>
  </conditionalFormatting>
  <conditionalFormatting sqref="B19">
    <cfRule type="expression" dxfId="94" priority="26" stopIfTrue="1">
      <formula>B19&lt;25</formula>
    </cfRule>
    <cfRule type="expression" dxfId="93" priority="27" stopIfTrue="1">
      <formula>B19&gt;50</formula>
    </cfRule>
  </conditionalFormatting>
  <conditionalFormatting sqref="B5">
    <cfRule type="expression" dxfId="92" priority="25" stopIfTrue="1">
      <formula>B5&lt;25</formula>
    </cfRule>
  </conditionalFormatting>
  <conditionalFormatting sqref="D12">
    <cfRule type="expression" dxfId="91" priority="22" stopIfTrue="1">
      <formula>B12=1</formula>
    </cfRule>
  </conditionalFormatting>
  <conditionalFormatting sqref="A17">
    <cfRule type="expression" dxfId="90" priority="19" stopIfTrue="1">
      <formula>B15=0</formula>
    </cfRule>
  </conditionalFormatting>
  <conditionalFormatting sqref="A14">
    <cfRule type="expression" dxfId="89" priority="17" stopIfTrue="1">
      <formula>C16=100</formula>
    </cfRule>
  </conditionalFormatting>
  <conditionalFormatting sqref="A14">
    <cfRule type="expression" dxfId="88" priority="15" stopIfTrue="1">
      <formula>B15=100</formula>
    </cfRule>
  </conditionalFormatting>
  <conditionalFormatting sqref="A21">
    <cfRule type="expression" dxfId="87" priority="12" stopIfTrue="1">
      <formula>B15=0</formula>
    </cfRule>
  </conditionalFormatting>
  <conditionalFormatting sqref="A20">
    <cfRule type="expression" dxfId="86" priority="11" stopIfTrue="1">
      <formula>B15=100</formula>
    </cfRule>
  </conditionalFormatting>
  <conditionalFormatting sqref="B9">
    <cfRule type="expression" dxfId="85" priority="6" stopIfTrue="1">
      <formula>B9&lt;25</formula>
    </cfRule>
  </conditionalFormatting>
  <conditionalFormatting sqref="A16">
    <cfRule type="expression" dxfId="84" priority="430" stopIfTrue="1">
      <formula>B15=0</formula>
    </cfRule>
  </conditionalFormatting>
  <conditionalFormatting sqref="B17">
    <cfRule type="expression" dxfId="83" priority="432" stopIfTrue="1">
      <formula>B15=0</formula>
    </cfRule>
  </conditionalFormatting>
  <conditionalFormatting sqref="A13">
    <cfRule type="expression" dxfId="82" priority="434" stopIfTrue="1">
      <formula>B15=100</formula>
    </cfRule>
  </conditionalFormatting>
  <conditionalFormatting sqref="B14">
    <cfRule type="expression" dxfId="81" priority="436" stopIfTrue="1">
      <formula>B15=100</formula>
    </cfRule>
  </conditionalFormatting>
  <conditionalFormatting sqref="B21">
    <cfRule type="expression" dxfId="80" priority="439" stopIfTrue="1">
      <formula>B15=0</formula>
    </cfRule>
  </conditionalFormatting>
  <conditionalFormatting sqref="B20">
    <cfRule type="expression" dxfId="79" priority="440" stopIfTrue="1">
      <formula>B15=100</formula>
    </cfRule>
  </conditionalFormatting>
  <conditionalFormatting sqref="D21">
    <cfRule type="expression" dxfId="78" priority="441" stopIfTrue="1">
      <formula>B15=0</formula>
    </cfRule>
  </conditionalFormatting>
  <conditionalFormatting sqref="D20">
    <cfRule type="expression" dxfId="77" priority="442" stopIfTrue="1">
      <formula>B15=100</formula>
    </cfRule>
  </conditionalFormatting>
  <conditionalFormatting sqref="B16">
    <cfRule type="expression" dxfId="76" priority="5">
      <formula>B15=0</formula>
    </cfRule>
  </conditionalFormatting>
  <conditionalFormatting sqref="C17">
    <cfRule type="expression" dxfId="75" priority="4">
      <formula>B15=0</formula>
    </cfRule>
  </conditionalFormatting>
  <conditionalFormatting sqref="B13">
    <cfRule type="expression" dxfId="74" priority="3">
      <formula>B15=100</formula>
    </cfRule>
  </conditionalFormatting>
  <conditionalFormatting sqref="C14">
    <cfRule type="expression" dxfId="73" priority="2">
      <formula>B15=100</formula>
    </cfRule>
  </conditionalFormatting>
  <conditionalFormatting sqref="B11">
    <cfRule type="expression" dxfId="72" priority="1" stopIfTrue="1">
      <formula>B11&gt;B10</formula>
    </cfRule>
  </conditionalFormatting>
  <dataValidations count="5">
    <dataValidation type="list" allowBlank="1" showInputMessage="1" showErrorMessage="1" prompt="Select: None, Distilled, and RO Water here." sqref="B7" xr:uid="{00000000-0002-0000-0200-000000000000}">
      <formula1>$B$68:$B$70</formula1>
    </dataValidation>
    <dataValidation type="list" allowBlank="1" showInputMessage="1" showErrorMessage="1" prompt="Select acid type here" sqref="B13" xr:uid="{00000000-0002-0000-0200-000001000000}">
      <formula1>$B$47:$B$55</formula1>
    </dataValidation>
    <dataValidation type="list" allowBlank="1" showInputMessage="1" showErrorMessage="1" prompt="Select acid type here." sqref="B16" xr:uid="{00000000-0002-0000-0200-000002000000}">
      <formula1>$B$74:$B$82</formula1>
    </dataValidation>
    <dataValidation type="list" allowBlank="1" showInputMessage="1" showErrorMessage="1" prompt="Select: percentage, normality, molarity, or solid." sqref="C14" xr:uid="{00000000-0002-0000-0200-000003000000}">
      <formula1>$B$59:$B$62</formula1>
    </dataValidation>
    <dataValidation type="list" allowBlank="1" showInputMessage="1" showErrorMessage="1" prompt="Select: percentage, normality, molarity, or solid." sqref="C17" xr:uid="{00000000-0002-0000-0200-000004000000}">
      <formula1>$B$86:$B$89</formula1>
    </dataValidation>
  </dataValidations>
  <printOptions horizontalCentered="1" verticalCentered="1"/>
  <pageMargins left="0.75" right="0.75" top="1" bottom="1" header="0.5" footer="0.5"/>
  <pageSetup orientation="portrait" r:id="rId1"/>
  <headerFooter alignWithMargins="0">
    <oddFooter>&amp;LBru'n Water
V.5.5&amp;R9/17/18</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rgb="FFFFFF66"/>
    <pageSetUpPr fitToPage="1"/>
  </sheetPr>
  <dimension ref="A1:BH68"/>
  <sheetViews>
    <sheetView showGridLines="0" zoomScale="130" zoomScaleNormal="130" workbookViewId="0">
      <selection activeCell="B21" sqref="B21"/>
    </sheetView>
  </sheetViews>
  <sheetFormatPr defaultColWidth="8.7109375" defaultRowHeight="12.75" x14ac:dyDescent="0.2"/>
  <cols>
    <col min="1" max="1" width="29" style="343" customWidth="1"/>
    <col min="2" max="2" width="13.7109375" style="343" customWidth="1"/>
    <col min="3" max="5" width="15.5703125" style="343" customWidth="1"/>
    <col min="6" max="6" width="13.42578125" style="343" customWidth="1"/>
    <col min="7" max="7" width="12.85546875" style="98" customWidth="1"/>
    <col min="8" max="22" width="13.140625" style="144" hidden="1" customWidth="1"/>
    <col min="23" max="23" width="11.7109375" style="144" hidden="1" customWidth="1"/>
    <col min="24" max="24" width="12.7109375" style="144" hidden="1" customWidth="1"/>
    <col min="25" max="26" width="13.140625" style="144" hidden="1" customWidth="1"/>
    <col min="27" max="27" width="13.140625" style="98" customWidth="1"/>
    <col min="28" max="28" width="15" style="98" customWidth="1"/>
    <col min="29" max="29" width="14.42578125" style="98" customWidth="1"/>
    <col min="30" max="30" width="15.42578125" style="98" customWidth="1"/>
    <col min="31" max="16384" width="8.7109375" style="343"/>
  </cols>
  <sheetData>
    <row r="1" spans="1:60" ht="27.75" x14ac:dyDescent="0.2">
      <c r="A1" s="341" t="s">
        <v>63</v>
      </c>
      <c r="B1" s="560" t="str">
        <f>'1. Water Report Input'!$C$1</f>
        <v>Michael Weisz</v>
      </c>
      <c r="C1" s="561"/>
      <c r="D1" s="561"/>
      <c r="E1" s="561"/>
      <c r="F1" s="561"/>
      <c r="G1" s="423"/>
      <c r="H1" s="425"/>
      <c r="I1" s="425"/>
      <c r="J1" s="426"/>
      <c r="K1" s="426"/>
      <c r="L1" s="426"/>
      <c r="M1" s="426"/>
      <c r="P1" s="99">
        <v>1</v>
      </c>
      <c r="Q1" s="99" t="s">
        <v>224</v>
      </c>
      <c r="AE1" s="342"/>
      <c r="AF1" s="342"/>
      <c r="AG1" s="342"/>
      <c r="AH1" s="342"/>
      <c r="AI1" s="342"/>
      <c r="AJ1" s="342"/>
      <c r="AK1" s="342"/>
      <c r="AL1" s="342"/>
      <c r="AM1" s="342"/>
      <c r="AN1" s="342"/>
      <c r="AO1" s="342"/>
      <c r="AP1" s="342"/>
      <c r="AQ1" s="342"/>
      <c r="AR1" s="342"/>
      <c r="AS1" s="342"/>
      <c r="AT1" s="342"/>
      <c r="AU1" s="342"/>
      <c r="AV1" s="342"/>
      <c r="AW1" s="342"/>
      <c r="AX1" s="342"/>
      <c r="AY1" s="342"/>
      <c r="AZ1" s="342"/>
      <c r="BA1" s="342"/>
      <c r="BB1" s="342"/>
      <c r="BC1" s="342"/>
      <c r="BD1" s="342"/>
      <c r="BE1" s="342"/>
      <c r="BF1" s="342"/>
    </row>
    <row r="2" spans="1:60" ht="26.25" x14ac:dyDescent="0.2">
      <c r="A2" s="344" t="s">
        <v>829</v>
      </c>
      <c r="B2" s="557" t="s">
        <v>1023</v>
      </c>
      <c r="C2" s="558"/>
      <c r="D2" s="558"/>
      <c r="E2" s="558"/>
      <c r="F2" s="559"/>
      <c r="G2" s="423"/>
      <c r="H2" s="427"/>
      <c r="I2" s="428"/>
      <c r="P2" s="99">
        <v>2</v>
      </c>
      <c r="Q2" s="99" t="s">
        <v>974</v>
      </c>
      <c r="AE2" s="342"/>
      <c r="AF2" s="342"/>
      <c r="AG2" s="342"/>
      <c r="AH2" s="342"/>
      <c r="AI2" s="342"/>
      <c r="AJ2" s="342"/>
      <c r="AK2" s="342"/>
      <c r="AL2" s="342"/>
      <c r="AM2" s="342"/>
      <c r="AN2" s="342"/>
      <c r="AO2" s="342"/>
      <c r="AP2" s="342"/>
      <c r="AQ2" s="342"/>
      <c r="AR2" s="342"/>
      <c r="AS2" s="342"/>
      <c r="AT2" s="342"/>
      <c r="AU2" s="342"/>
      <c r="AV2" s="342"/>
      <c r="AW2" s="342"/>
      <c r="AX2" s="342"/>
      <c r="AY2" s="342"/>
      <c r="AZ2" s="342"/>
      <c r="BA2" s="342"/>
      <c r="BB2" s="342"/>
      <c r="BC2" s="342"/>
      <c r="BD2" s="342"/>
      <c r="BE2" s="342"/>
      <c r="BF2" s="342"/>
    </row>
    <row r="3" spans="1:60" ht="25.15" customHeight="1" x14ac:dyDescent="0.2">
      <c r="A3" s="580" t="s">
        <v>968</v>
      </c>
      <c r="B3" s="580"/>
      <c r="C3" s="580"/>
      <c r="D3" s="580"/>
      <c r="E3" s="580"/>
      <c r="F3" s="580"/>
      <c r="G3" s="423"/>
      <c r="H3" s="429"/>
      <c r="I3" s="429"/>
      <c r="P3" s="99">
        <v>3</v>
      </c>
      <c r="Q3" s="99" t="s">
        <v>225</v>
      </c>
      <c r="AE3" s="342"/>
      <c r="AF3" s="342"/>
      <c r="AG3" s="342"/>
      <c r="AH3" s="342"/>
      <c r="AI3" s="342"/>
      <c r="AJ3" s="342"/>
      <c r="AK3" s="342"/>
      <c r="AL3" s="342"/>
      <c r="AM3" s="342"/>
      <c r="AN3" s="342"/>
      <c r="AO3" s="342"/>
      <c r="AP3" s="342"/>
      <c r="AQ3" s="342"/>
      <c r="AR3" s="342"/>
      <c r="AS3" s="342"/>
      <c r="AT3" s="342"/>
      <c r="AU3" s="342"/>
      <c r="AV3" s="342"/>
      <c r="AW3" s="342"/>
      <c r="AX3" s="342"/>
      <c r="AY3" s="342"/>
      <c r="AZ3" s="342"/>
      <c r="BA3" s="342"/>
      <c r="BB3" s="342"/>
      <c r="BC3" s="342"/>
      <c r="BD3" s="342"/>
      <c r="BE3" s="342"/>
      <c r="BF3" s="342"/>
    </row>
    <row r="4" spans="1:60" s="348" customFormat="1" ht="22.9" customHeight="1" x14ac:dyDescent="0.2">
      <c r="A4" s="345" t="s">
        <v>524</v>
      </c>
      <c r="B4" s="581" t="s">
        <v>888</v>
      </c>
      <c r="C4" s="581"/>
      <c r="D4" s="581"/>
      <c r="E4" s="581"/>
      <c r="F4" s="581"/>
      <c r="G4" s="423"/>
      <c r="H4" s="430"/>
      <c r="I4" s="431"/>
      <c r="J4" s="431"/>
      <c r="K4" s="430"/>
      <c r="L4" s="430"/>
      <c r="M4" s="430"/>
      <c r="N4" s="430"/>
      <c r="O4" s="430"/>
      <c r="P4" s="99">
        <v>4</v>
      </c>
      <c r="Q4" s="99" t="s">
        <v>973</v>
      </c>
      <c r="R4" s="430"/>
      <c r="S4" s="430"/>
      <c r="T4" s="430"/>
      <c r="U4" s="430"/>
      <c r="V4" s="430"/>
      <c r="W4" s="430"/>
      <c r="X4" s="430"/>
      <c r="Y4" s="430"/>
      <c r="Z4" s="430"/>
      <c r="AA4" s="346"/>
      <c r="AB4" s="346"/>
      <c r="AC4" s="346"/>
      <c r="AD4" s="346"/>
      <c r="AE4" s="347"/>
      <c r="AF4" s="347"/>
      <c r="AG4" s="347"/>
      <c r="AH4" s="347"/>
      <c r="AI4" s="347"/>
      <c r="AJ4" s="347"/>
      <c r="AK4" s="347"/>
      <c r="AL4" s="347"/>
      <c r="AM4" s="347"/>
      <c r="AN4" s="347"/>
      <c r="AO4" s="347"/>
      <c r="AP4" s="347"/>
      <c r="AQ4" s="347"/>
      <c r="AR4" s="347"/>
      <c r="AS4" s="347"/>
      <c r="AT4" s="347"/>
      <c r="AU4" s="347"/>
      <c r="AV4" s="347"/>
      <c r="AW4" s="347"/>
      <c r="AX4" s="347"/>
      <c r="AY4" s="347"/>
      <c r="AZ4" s="347"/>
      <c r="BA4" s="347"/>
      <c r="BB4" s="347"/>
      <c r="BC4" s="347"/>
      <c r="BD4" s="347"/>
      <c r="BE4" s="347"/>
      <c r="BF4" s="347"/>
    </row>
    <row r="5" spans="1:60" ht="27.6" customHeight="1" x14ac:dyDescent="0.2">
      <c r="A5" s="349" t="s">
        <v>166</v>
      </c>
      <c r="B5" s="349" t="s">
        <v>223</v>
      </c>
      <c r="C5" s="350" t="str">
        <f>O35</f>
        <v>Quantity (lb)</v>
      </c>
      <c r="D5" s="350" t="str">
        <f>P35</f>
        <v>Quantity (oz)</v>
      </c>
      <c r="E5" s="351" t="str">
        <f>IF(B20="Lovibond",R28,R29)</f>
        <v>Color (L)</v>
      </c>
      <c r="F5" s="349" t="s">
        <v>883</v>
      </c>
      <c r="G5" s="423"/>
      <c r="H5" s="432"/>
      <c r="I5" s="433"/>
      <c r="J5" s="434"/>
      <c r="K5" s="434">
        <v>1</v>
      </c>
      <c r="L5" s="434">
        <v>2</v>
      </c>
      <c r="M5" s="434">
        <v>3</v>
      </c>
      <c r="N5" s="434">
        <v>4</v>
      </c>
      <c r="O5" s="434">
        <v>5</v>
      </c>
      <c r="P5" s="99">
        <v>5</v>
      </c>
      <c r="Q5" s="99" t="s">
        <v>164</v>
      </c>
      <c r="AE5" s="342"/>
      <c r="AF5" s="342"/>
      <c r="AG5" s="342"/>
      <c r="AH5" s="342"/>
      <c r="AI5" s="342"/>
      <c r="AJ5" s="342"/>
      <c r="AK5" s="342"/>
      <c r="AL5" s="342"/>
      <c r="AM5" s="342"/>
      <c r="AN5" s="342"/>
      <c r="AO5" s="342"/>
      <c r="AP5" s="342"/>
      <c r="AQ5" s="342"/>
      <c r="AR5" s="342"/>
      <c r="AS5" s="342"/>
      <c r="AT5" s="342"/>
      <c r="AU5" s="342"/>
      <c r="AV5" s="342"/>
      <c r="AW5" s="342"/>
      <c r="AX5" s="342"/>
      <c r="AY5" s="342"/>
      <c r="AZ5" s="342"/>
      <c r="BA5" s="342"/>
      <c r="BB5" s="342"/>
      <c r="BC5" s="342"/>
      <c r="BD5" s="342"/>
      <c r="BE5" s="342"/>
      <c r="BF5" s="342"/>
    </row>
    <row r="6" spans="1:60" ht="15.6" customHeight="1" x14ac:dyDescent="0.2">
      <c r="A6" s="7" t="s">
        <v>1002</v>
      </c>
      <c r="B6" s="409" t="s">
        <v>224</v>
      </c>
      <c r="C6" s="383">
        <v>16</v>
      </c>
      <c r="D6" s="383">
        <v>0</v>
      </c>
      <c r="E6" s="391">
        <v>3</v>
      </c>
      <c r="F6" s="353">
        <f>IFERROR(100*(N(C6)+(N(D6)/$V$35))/$C$18,0)</f>
        <v>55.172413793103445</v>
      </c>
      <c r="G6" s="423"/>
      <c r="H6" s="435">
        <f>((N(C6)+(N(D6)/$V$35))*$U$35*IF(B$20="Lovibond",N(E6),(0.375*N(E6))+0.561))/('4. Water Adjustment'!$V$18*$X$35)</f>
        <v>4.2666666666666666</v>
      </c>
      <c r="I6" s="436">
        <f>HLOOKUP(N(J6),aciditytable,2,FALSE)</f>
        <v>13.440000000000001</v>
      </c>
      <c r="J6" s="434">
        <f>IFERROR(INDEX($P$1:$P$5, MATCH(B6,$Q$1:$Q$5,0)),1)</f>
        <v>1</v>
      </c>
      <c r="K6" s="390">
        <f>(N(C6)+(N(D6)/$V$35))*$U$35*((0.28*T6))</f>
        <v>13.440000000000001</v>
      </c>
      <c r="L6" s="390">
        <f>(N(C6)+(N(D6)/$V$35))*$U$35*((0.28*T6)-2.7)</f>
        <v>-29.76</v>
      </c>
      <c r="M6" s="390">
        <f>(N(C6)+(N(D6)/$V$35))*$U$35*((0.21*T6)+2.5)</f>
        <v>50.08</v>
      </c>
      <c r="N6" s="390">
        <f>((N(C6)+(N(D6)/$V$35))*$U$35*38)</f>
        <v>608</v>
      </c>
      <c r="O6" s="390">
        <f>((N(C6)+(N(D6)/$V$35))*$U$35*A$26*95)</f>
        <v>1520</v>
      </c>
      <c r="P6" s="437">
        <f>IF($J6=1,$I6,0)</f>
        <v>13.440000000000001</v>
      </c>
      <c r="Q6" s="437">
        <f>IF($J6=2,$I6,0)</f>
        <v>0</v>
      </c>
      <c r="R6" s="437">
        <f>IF($J6=3,$I6,0)</f>
        <v>0</v>
      </c>
      <c r="S6" s="437">
        <f>IF($J6=4,$I6,0)</f>
        <v>0</v>
      </c>
      <c r="T6" s="438">
        <f t="shared" ref="T6:T17" si="0">IF($B$20="lovibond",N(E6),(0.375*N(E6))+0.561)</f>
        <v>3</v>
      </c>
      <c r="AE6" s="98"/>
      <c r="AF6" s="342"/>
      <c r="AG6" s="342"/>
      <c r="AH6" s="342"/>
      <c r="AI6" s="342"/>
      <c r="AJ6" s="342"/>
      <c r="AK6" s="342"/>
      <c r="AL6" s="342"/>
      <c r="AM6" s="342"/>
      <c r="AN6" s="342"/>
      <c r="AO6" s="342"/>
      <c r="AP6" s="342"/>
      <c r="AQ6" s="342"/>
      <c r="AR6" s="342"/>
      <c r="AS6" s="342"/>
      <c r="AT6" s="342"/>
      <c r="AU6" s="342"/>
      <c r="AV6" s="342"/>
      <c r="AW6" s="342"/>
      <c r="AX6" s="342"/>
      <c r="AY6" s="342"/>
      <c r="AZ6" s="342"/>
      <c r="BA6" s="342"/>
      <c r="BB6" s="342"/>
      <c r="BC6" s="342"/>
      <c r="BD6" s="342"/>
      <c r="BE6" s="342"/>
      <c r="BF6" s="342"/>
      <c r="BG6" s="342"/>
      <c r="BH6" s="342"/>
    </row>
    <row r="7" spans="1:60" ht="15.6" customHeight="1" x14ac:dyDescent="0.2">
      <c r="A7" s="7" t="s">
        <v>1000</v>
      </c>
      <c r="B7" s="460" t="s">
        <v>974</v>
      </c>
      <c r="C7" s="383">
        <v>6</v>
      </c>
      <c r="D7" s="383">
        <v>0</v>
      </c>
      <c r="E7" s="391">
        <v>2.5</v>
      </c>
      <c r="F7" s="353">
        <f t="shared" ref="F7:F17" si="1">IFERROR(100*(N(C7)+(N(D7)/$V$35))/$C$18,0)</f>
        <v>20.689655172413794</v>
      </c>
      <c r="G7" s="423"/>
      <c r="H7" s="435">
        <f>((N(C7)+(N(D7)/$V$35))*$U$35*IF(B$20="lovibond",N(E7),(0.375*N(E7))+0.561))/('4. Water Adjustment'!$V$18*$X$35)</f>
        <v>1.3333333333333333</v>
      </c>
      <c r="I7" s="436">
        <f>HLOOKUP(J7,aciditytable,3,FALSE)</f>
        <v>-12</v>
      </c>
      <c r="J7" s="434">
        <f t="shared" ref="J7:J17" si="2">IFERROR(INDEX($P$1:$P$5, MATCH(B7,$Q$1:$Q$5,0)),1)</f>
        <v>2</v>
      </c>
      <c r="K7" s="390">
        <f t="shared" ref="K7:K17" si="3">(N(C7)+(N(D7)/$V$35))*$U$35*((0.28*T7))</f>
        <v>4.2</v>
      </c>
      <c r="L7" s="390">
        <f t="shared" ref="L7:L17" si="4">(N(C7)+(N(D7)/$V$35))*$U$35*((0.28*T7)-2.7)</f>
        <v>-12</v>
      </c>
      <c r="M7" s="390">
        <f t="shared" ref="M7:M17" si="5">(N(C7)+(N(D7)/$V$35))*$U$35*((0.21*T7)+2.5)</f>
        <v>18.149999999999999</v>
      </c>
      <c r="N7" s="390">
        <f t="shared" ref="N7:N17" si="6">((N(C7)+(N(D7)/$V$35))*$U$35*38)</f>
        <v>228</v>
      </c>
      <c r="O7" s="390">
        <f t="shared" ref="O7:O17" si="7">((N(C7)+(N(D7)/$V$35))*$U$35*A$26*95)</f>
        <v>570</v>
      </c>
      <c r="P7" s="437">
        <f t="shared" ref="P7:P17" si="8">IF($J7=1,$I7,0)</f>
        <v>0</v>
      </c>
      <c r="Q7" s="437">
        <f t="shared" ref="Q7:Q17" si="9">IF($J7=2,$I7,0)</f>
        <v>-12</v>
      </c>
      <c r="R7" s="437">
        <f t="shared" ref="R7:R17" si="10">IF($J7=3,$I7,0)</f>
        <v>0</v>
      </c>
      <c r="S7" s="437">
        <f t="shared" ref="S7:S17" si="11">IF($J7=4,$I7,0)</f>
        <v>0</v>
      </c>
      <c r="T7" s="144">
        <f t="shared" si="0"/>
        <v>2.5</v>
      </c>
      <c r="AE7" s="98"/>
      <c r="AF7" s="342"/>
      <c r="AG7" s="342"/>
      <c r="AH7" s="342"/>
      <c r="AI7" s="342"/>
      <c r="AJ7" s="342"/>
      <c r="AK7" s="342"/>
      <c r="AL7" s="342"/>
      <c r="AM7" s="342"/>
      <c r="AN7" s="342"/>
      <c r="AO7" s="342"/>
      <c r="AP7" s="342"/>
      <c r="AQ7" s="342"/>
      <c r="AR7" s="342"/>
      <c r="AS7" s="342"/>
      <c r="AT7" s="342"/>
      <c r="AU7" s="342"/>
      <c r="AV7" s="342"/>
      <c r="AW7" s="342"/>
      <c r="AX7" s="342"/>
      <c r="AY7" s="342"/>
      <c r="AZ7" s="342"/>
      <c r="BA7" s="342"/>
      <c r="BB7" s="342"/>
      <c r="BC7" s="342"/>
      <c r="BD7" s="342"/>
      <c r="BE7" s="342"/>
      <c r="BF7" s="342"/>
      <c r="BG7" s="342"/>
      <c r="BH7" s="342"/>
    </row>
    <row r="8" spans="1:60" ht="15.6" customHeight="1" x14ac:dyDescent="0.2">
      <c r="A8" s="7" t="s">
        <v>986</v>
      </c>
      <c r="B8" s="409" t="s">
        <v>974</v>
      </c>
      <c r="C8" s="383">
        <v>6</v>
      </c>
      <c r="D8" s="383">
        <v>0</v>
      </c>
      <c r="E8" s="391">
        <v>2</v>
      </c>
      <c r="F8" s="353">
        <f t="shared" si="1"/>
        <v>20.689655172413794</v>
      </c>
      <c r="G8" s="423"/>
      <c r="H8" s="435">
        <f>((N(C8)+(N(D8)/$V$35))*$U$35*IF(B$20="lovibond",N(E8),(0.375*N(E8))+0.561))/('4. Water Adjustment'!$V$18*$X$35)</f>
        <v>1.0666666666666667</v>
      </c>
      <c r="I8" s="436">
        <f>HLOOKUP(J8,aciditytable,4,FALSE)</f>
        <v>-12.84</v>
      </c>
      <c r="J8" s="434">
        <f t="shared" si="2"/>
        <v>2</v>
      </c>
      <c r="K8" s="390">
        <f t="shared" si="3"/>
        <v>3.3600000000000003</v>
      </c>
      <c r="L8" s="390">
        <f t="shared" si="4"/>
        <v>-12.84</v>
      </c>
      <c r="M8" s="390">
        <f t="shared" si="5"/>
        <v>17.52</v>
      </c>
      <c r="N8" s="390">
        <f t="shared" si="6"/>
        <v>228</v>
      </c>
      <c r="O8" s="390">
        <f t="shared" si="7"/>
        <v>570</v>
      </c>
      <c r="P8" s="437">
        <f t="shared" si="8"/>
        <v>0</v>
      </c>
      <c r="Q8" s="437">
        <f t="shared" si="9"/>
        <v>-12.84</v>
      </c>
      <c r="R8" s="437">
        <f t="shared" si="10"/>
        <v>0</v>
      </c>
      <c r="S8" s="437">
        <f t="shared" si="11"/>
        <v>0</v>
      </c>
      <c r="T8" s="144">
        <f t="shared" si="0"/>
        <v>2</v>
      </c>
      <c r="AE8" s="98"/>
      <c r="AF8" s="342"/>
      <c r="AG8" s="342"/>
      <c r="AH8" s="342"/>
      <c r="AI8" s="342"/>
      <c r="AJ8" s="342"/>
      <c r="AK8" s="342"/>
      <c r="AL8" s="342"/>
      <c r="AM8" s="342"/>
      <c r="AN8" s="342"/>
      <c r="AO8" s="342"/>
      <c r="AP8" s="342"/>
      <c r="AQ8" s="342"/>
      <c r="AR8" s="342"/>
      <c r="AS8" s="342"/>
      <c r="AT8" s="342"/>
      <c r="AU8" s="342"/>
      <c r="AV8" s="342"/>
      <c r="AW8" s="342"/>
      <c r="AX8" s="342"/>
      <c r="AY8" s="342"/>
      <c r="AZ8" s="342"/>
      <c r="BA8" s="342"/>
      <c r="BB8" s="342"/>
      <c r="BC8" s="342"/>
      <c r="BD8" s="342"/>
      <c r="BE8" s="342"/>
      <c r="BF8" s="342"/>
      <c r="BG8" s="342"/>
      <c r="BH8" s="342"/>
    </row>
    <row r="9" spans="1:60" ht="15.6" customHeight="1" x14ac:dyDescent="0.2">
      <c r="A9" s="7" t="s">
        <v>1001</v>
      </c>
      <c r="B9" s="409" t="s">
        <v>225</v>
      </c>
      <c r="C9" s="383">
        <v>1</v>
      </c>
      <c r="D9" s="383">
        <v>0</v>
      </c>
      <c r="E9" s="391">
        <v>6</v>
      </c>
      <c r="F9" s="353">
        <f t="shared" si="1"/>
        <v>3.4482758620689653</v>
      </c>
      <c r="G9" s="423"/>
      <c r="H9" s="435">
        <f>((N(C9)+(N(D9)/$V$35))*$U$35*IF(B$20="lovibond",N(E9),(0.375*N(E9))+0.561))/('4. Water Adjustment'!$V$18*$X$35)</f>
        <v>0.53333333333333333</v>
      </c>
      <c r="I9" s="436">
        <f>HLOOKUP(J9,aciditytable,5,FALSE)</f>
        <v>3.76</v>
      </c>
      <c r="J9" s="434">
        <f t="shared" si="2"/>
        <v>3</v>
      </c>
      <c r="K9" s="390">
        <f t="shared" si="3"/>
        <v>1.6800000000000002</v>
      </c>
      <c r="L9" s="390">
        <f t="shared" si="4"/>
        <v>-1.02</v>
      </c>
      <c r="M9" s="390">
        <f t="shared" si="5"/>
        <v>3.76</v>
      </c>
      <c r="N9" s="390">
        <f t="shared" si="6"/>
        <v>38</v>
      </c>
      <c r="O9" s="390">
        <f t="shared" si="7"/>
        <v>95</v>
      </c>
      <c r="P9" s="437">
        <f t="shared" si="8"/>
        <v>0</v>
      </c>
      <c r="Q9" s="437">
        <f t="shared" si="9"/>
        <v>0</v>
      </c>
      <c r="R9" s="437">
        <f t="shared" si="10"/>
        <v>3.76</v>
      </c>
      <c r="S9" s="437">
        <f t="shared" si="11"/>
        <v>0</v>
      </c>
      <c r="T9" s="144">
        <f t="shared" si="0"/>
        <v>6</v>
      </c>
      <c r="AE9" s="98"/>
      <c r="AF9" s="342"/>
      <c r="AG9" s="342"/>
      <c r="AH9" s="342"/>
      <c r="AI9" s="342"/>
      <c r="AJ9" s="342"/>
      <c r="AK9" s="342"/>
      <c r="AL9" s="342"/>
      <c r="AM9" s="342"/>
      <c r="AN9" s="342"/>
      <c r="AO9" s="342"/>
      <c r="AP9" s="342"/>
      <c r="AQ9" s="342"/>
      <c r="AR9" s="342"/>
      <c r="AS9" s="342"/>
      <c r="AT9" s="342"/>
      <c r="AU9" s="342"/>
      <c r="AV9" s="342"/>
      <c r="AW9" s="342"/>
      <c r="AX9" s="342"/>
      <c r="AY9" s="342"/>
      <c r="AZ9" s="342"/>
      <c r="BA9" s="342"/>
      <c r="BB9" s="342"/>
      <c r="BC9" s="342"/>
      <c r="BD9" s="342"/>
      <c r="BE9" s="342"/>
      <c r="BF9" s="342"/>
      <c r="BG9" s="342"/>
      <c r="BH9" s="342"/>
    </row>
    <row r="10" spans="1:60" ht="15.6" customHeight="1" x14ac:dyDescent="0.2">
      <c r="A10" s="7"/>
      <c r="B10" s="409" t="s">
        <v>224</v>
      </c>
      <c r="C10" s="383">
        <v>0</v>
      </c>
      <c r="D10" s="383">
        <v>0</v>
      </c>
      <c r="E10" s="391">
        <v>0</v>
      </c>
      <c r="F10" s="353">
        <f t="shared" si="1"/>
        <v>0</v>
      </c>
      <c r="G10" s="423"/>
      <c r="H10" s="435">
        <f>((N(C10)+(N(D10)/$V$35))*$U$35*IF(B$20="lovibond",N(E10),(0.375*N(E10))+0.561))/('4. Water Adjustment'!$V$18*$X$35)</f>
        <v>0</v>
      </c>
      <c r="I10" s="436">
        <f>HLOOKUP(J10,aciditytable,6,FALSE)</f>
        <v>0</v>
      </c>
      <c r="J10" s="434">
        <f t="shared" si="2"/>
        <v>1</v>
      </c>
      <c r="K10" s="390">
        <f t="shared" si="3"/>
        <v>0</v>
      </c>
      <c r="L10" s="390">
        <f t="shared" si="4"/>
        <v>0</v>
      </c>
      <c r="M10" s="390">
        <f t="shared" si="5"/>
        <v>0</v>
      </c>
      <c r="N10" s="390">
        <f t="shared" si="6"/>
        <v>0</v>
      </c>
      <c r="O10" s="390">
        <f t="shared" si="7"/>
        <v>0</v>
      </c>
      <c r="P10" s="437">
        <f t="shared" si="8"/>
        <v>0</v>
      </c>
      <c r="Q10" s="437">
        <f t="shared" si="9"/>
        <v>0</v>
      </c>
      <c r="R10" s="437">
        <f t="shared" si="10"/>
        <v>0</v>
      </c>
      <c r="S10" s="437">
        <f t="shared" si="11"/>
        <v>0</v>
      </c>
      <c r="T10" s="144">
        <f t="shared" si="0"/>
        <v>0</v>
      </c>
      <c r="AE10" s="98"/>
      <c r="AF10" s="342"/>
      <c r="AG10" s="342"/>
      <c r="AH10" s="342"/>
      <c r="AI10" s="342"/>
      <c r="AJ10" s="342"/>
      <c r="AK10" s="342"/>
      <c r="AL10" s="342"/>
      <c r="AM10" s="342"/>
      <c r="AN10" s="342"/>
      <c r="AO10" s="342"/>
      <c r="AP10" s="342"/>
      <c r="AQ10" s="342"/>
      <c r="AR10" s="342"/>
      <c r="AS10" s="342"/>
      <c r="AT10" s="342"/>
      <c r="AU10" s="342"/>
      <c r="AV10" s="342"/>
      <c r="AW10" s="342"/>
      <c r="AX10" s="342"/>
      <c r="AY10" s="342"/>
      <c r="AZ10" s="342"/>
      <c r="BA10" s="342"/>
      <c r="BB10" s="342"/>
      <c r="BC10" s="342"/>
      <c r="BD10" s="342"/>
      <c r="BE10" s="342"/>
      <c r="BF10" s="342"/>
      <c r="BG10" s="342"/>
      <c r="BH10" s="342"/>
    </row>
    <row r="11" spans="1:60" ht="15.6" customHeight="1" x14ac:dyDescent="0.2">
      <c r="A11" s="7"/>
      <c r="B11" s="409" t="s">
        <v>224</v>
      </c>
      <c r="C11" s="383">
        <v>0</v>
      </c>
      <c r="D11" s="383">
        <v>0</v>
      </c>
      <c r="E11" s="391">
        <v>0</v>
      </c>
      <c r="F11" s="353">
        <f t="shared" si="1"/>
        <v>0</v>
      </c>
      <c r="G11" s="423"/>
      <c r="H11" s="435">
        <f>((N(C11)+(N(D11)/$V$35))*$U$35*IF(B$20="lovibond",N(E11),(0.375*N(E11))+0.561))/('4. Water Adjustment'!$V$18*$X$35)</f>
        <v>0</v>
      </c>
      <c r="I11" s="436">
        <f>HLOOKUP(J11,aciditytable,7,FALSE)</f>
        <v>0</v>
      </c>
      <c r="J11" s="434">
        <f t="shared" si="2"/>
        <v>1</v>
      </c>
      <c r="K11" s="390">
        <f t="shared" si="3"/>
        <v>0</v>
      </c>
      <c r="L11" s="390">
        <f t="shared" si="4"/>
        <v>0</v>
      </c>
      <c r="M11" s="390">
        <f t="shared" si="5"/>
        <v>0</v>
      </c>
      <c r="N11" s="390">
        <f t="shared" si="6"/>
        <v>0</v>
      </c>
      <c r="O11" s="390">
        <f t="shared" si="7"/>
        <v>0</v>
      </c>
      <c r="P11" s="437">
        <f t="shared" si="8"/>
        <v>0</v>
      </c>
      <c r="Q11" s="437">
        <f t="shared" si="9"/>
        <v>0</v>
      </c>
      <c r="R11" s="437">
        <f t="shared" si="10"/>
        <v>0</v>
      </c>
      <c r="S11" s="437">
        <f t="shared" si="11"/>
        <v>0</v>
      </c>
      <c r="T11" s="144">
        <f t="shared" si="0"/>
        <v>0</v>
      </c>
      <c r="AE11" s="98"/>
      <c r="AF11" s="342"/>
      <c r="AG11" s="342"/>
      <c r="AH11" s="342"/>
      <c r="AI11" s="342"/>
      <c r="AJ11" s="342"/>
      <c r="AK11" s="342"/>
      <c r="AL11" s="342"/>
      <c r="AM11" s="342"/>
      <c r="AN11" s="342"/>
      <c r="AO11" s="342"/>
      <c r="AP11" s="342"/>
      <c r="AQ11" s="342"/>
      <c r="AR11" s="342"/>
      <c r="AS11" s="342"/>
      <c r="AT11" s="342"/>
      <c r="AU11" s="342"/>
      <c r="AV11" s="342"/>
      <c r="AW11" s="342"/>
      <c r="AX11" s="342"/>
      <c r="AY11" s="342"/>
      <c r="AZ11" s="342"/>
      <c r="BA11" s="342"/>
      <c r="BB11" s="342"/>
      <c r="BC11" s="342"/>
      <c r="BD11" s="342"/>
      <c r="BE11" s="342"/>
      <c r="BF11" s="342"/>
      <c r="BG11" s="342"/>
      <c r="BH11" s="342"/>
    </row>
    <row r="12" spans="1:60" ht="15.6" customHeight="1" x14ac:dyDescent="0.2">
      <c r="A12" s="7"/>
      <c r="B12" s="409" t="s">
        <v>224</v>
      </c>
      <c r="C12" s="383">
        <v>0</v>
      </c>
      <c r="D12" s="383">
        <v>0</v>
      </c>
      <c r="E12" s="391">
        <v>0</v>
      </c>
      <c r="F12" s="353">
        <f t="shared" si="1"/>
        <v>0</v>
      </c>
      <c r="G12" s="423"/>
      <c r="H12" s="435">
        <f>((N(C12)+(N(D12)/$V$35))*$U$35*IF(B$20="lovibond",N(E12),(0.375*N(E12))+0.561))/('4. Water Adjustment'!$V$18*$X$35)</f>
        <v>0</v>
      </c>
      <c r="I12" s="436">
        <f>HLOOKUP(J12,aciditytable,8,FALSE)</f>
        <v>0</v>
      </c>
      <c r="J12" s="434">
        <f t="shared" si="2"/>
        <v>1</v>
      </c>
      <c r="K12" s="390">
        <f t="shared" si="3"/>
        <v>0</v>
      </c>
      <c r="L12" s="390">
        <f t="shared" si="4"/>
        <v>0</v>
      </c>
      <c r="M12" s="390">
        <f t="shared" si="5"/>
        <v>0</v>
      </c>
      <c r="N12" s="390">
        <f t="shared" si="6"/>
        <v>0</v>
      </c>
      <c r="O12" s="390">
        <f t="shared" si="7"/>
        <v>0</v>
      </c>
      <c r="P12" s="437">
        <f t="shared" si="8"/>
        <v>0</v>
      </c>
      <c r="Q12" s="437">
        <f t="shared" si="9"/>
        <v>0</v>
      </c>
      <c r="R12" s="437">
        <f t="shared" si="10"/>
        <v>0</v>
      </c>
      <c r="S12" s="437">
        <f t="shared" si="11"/>
        <v>0</v>
      </c>
      <c r="T12" s="144">
        <f t="shared" si="0"/>
        <v>0</v>
      </c>
      <c r="AE12" s="98"/>
      <c r="AF12" s="342"/>
      <c r="AG12" s="342"/>
      <c r="AH12" s="342"/>
      <c r="AI12" s="342"/>
      <c r="AJ12" s="342"/>
      <c r="AK12" s="342"/>
      <c r="AL12" s="342"/>
      <c r="AM12" s="342"/>
      <c r="AN12" s="342"/>
      <c r="AO12" s="342"/>
      <c r="AP12" s="342"/>
      <c r="AQ12" s="342"/>
      <c r="AR12" s="342"/>
      <c r="AS12" s="342"/>
      <c r="AT12" s="342"/>
      <c r="AU12" s="342"/>
      <c r="AV12" s="342"/>
      <c r="AW12" s="342"/>
      <c r="AX12" s="342"/>
      <c r="AY12" s="342"/>
      <c r="AZ12" s="342"/>
      <c r="BA12" s="342"/>
      <c r="BB12" s="342"/>
      <c r="BC12" s="342"/>
      <c r="BD12" s="342"/>
      <c r="BE12" s="342"/>
      <c r="BF12" s="342"/>
      <c r="BG12" s="342"/>
      <c r="BH12" s="342"/>
    </row>
    <row r="13" spans="1:60" ht="15.6" customHeight="1" x14ac:dyDescent="0.2">
      <c r="A13" s="7"/>
      <c r="B13" s="409" t="s">
        <v>224</v>
      </c>
      <c r="C13" s="383">
        <v>0</v>
      </c>
      <c r="D13" s="383">
        <v>0</v>
      </c>
      <c r="E13" s="391">
        <v>0</v>
      </c>
      <c r="F13" s="353">
        <f t="shared" si="1"/>
        <v>0</v>
      </c>
      <c r="G13" s="423"/>
      <c r="H13" s="435">
        <f>((N(C13)+(N(D13)/$V$35))*$U$35*IF(B$20="lovibond",N(E13),(0.375*N(E13))+0.561))/('4. Water Adjustment'!$V$18*$X$35)</f>
        <v>0</v>
      </c>
      <c r="I13" s="436">
        <f>HLOOKUP(J13,aciditytable,9,FALSE)</f>
        <v>0</v>
      </c>
      <c r="J13" s="434">
        <f t="shared" si="2"/>
        <v>1</v>
      </c>
      <c r="K13" s="390">
        <f t="shared" si="3"/>
        <v>0</v>
      </c>
      <c r="L13" s="390">
        <f t="shared" si="4"/>
        <v>0</v>
      </c>
      <c r="M13" s="390">
        <f t="shared" si="5"/>
        <v>0</v>
      </c>
      <c r="N13" s="390">
        <f t="shared" si="6"/>
        <v>0</v>
      </c>
      <c r="O13" s="390">
        <f t="shared" si="7"/>
        <v>0</v>
      </c>
      <c r="P13" s="437">
        <f t="shared" si="8"/>
        <v>0</v>
      </c>
      <c r="Q13" s="437">
        <f t="shared" si="9"/>
        <v>0</v>
      </c>
      <c r="R13" s="437">
        <f t="shared" si="10"/>
        <v>0</v>
      </c>
      <c r="S13" s="437">
        <f t="shared" si="11"/>
        <v>0</v>
      </c>
      <c r="T13" s="144">
        <f t="shared" si="0"/>
        <v>0</v>
      </c>
      <c r="AE13" s="98"/>
      <c r="AF13" s="342"/>
      <c r="AG13" s="342"/>
      <c r="AH13" s="342"/>
      <c r="AI13" s="342"/>
      <c r="AJ13" s="342"/>
      <c r="AK13" s="342"/>
      <c r="AL13" s="342"/>
      <c r="AM13" s="342"/>
      <c r="AN13" s="342"/>
      <c r="AO13" s="342"/>
      <c r="AP13" s="342"/>
      <c r="AQ13" s="342"/>
      <c r="AR13" s="342"/>
      <c r="AS13" s="342"/>
      <c r="AT13" s="342"/>
      <c r="AU13" s="342"/>
      <c r="AV13" s="342"/>
      <c r="AW13" s="342"/>
      <c r="AX13" s="342"/>
      <c r="AY13" s="342"/>
      <c r="AZ13" s="342"/>
      <c r="BA13" s="342"/>
      <c r="BB13" s="342"/>
      <c r="BC13" s="342"/>
      <c r="BD13" s="342"/>
      <c r="BE13" s="342"/>
      <c r="BF13" s="342"/>
      <c r="BG13" s="342"/>
      <c r="BH13" s="342"/>
    </row>
    <row r="14" spans="1:60" ht="15.6" customHeight="1" x14ac:dyDescent="0.2">
      <c r="A14" s="352"/>
      <c r="B14" s="409" t="s">
        <v>224</v>
      </c>
      <c r="C14" s="383">
        <v>0</v>
      </c>
      <c r="D14" s="383">
        <v>0</v>
      </c>
      <c r="E14" s="391">
        <v>0</v>
      </c>
      <c r="F14" s="353">
        <f t="shared" si="1"/>
        <v>0</v>
      </c>
      <c r="G14" s="423"/>
      <c r="H14" s="435">
        <f>((N(C14)+(N(D14)/$V$35))*$U$35*IF(B$20="lovibond",N(E14),(0.375*N(E14))+0.561))/('4. Water Adjustment'!$V$18*$X$35)</f>
        <v>0</v>
      </c>
      <c r="I14" s="436">
        <f>HLOOKUP(J14,aciditytable,10,FALSE)</f>
        <v>0</v>
      </c>
      <c r="J14" s="434">
        <f t="shared" si="2"/>
        <v>1</v>
      </c>
      <c r="K14" s="390">
        <f t="shared" si="3"/>
        <v>0</v>
      </c>
      <c r="L14" s="390">
        <f t="shared" si="4"/>
        <v>0</v>
      </c>
      <c r="M14" s="390">
        <f t="shared" si="5"/>
        <v>0</v>
      </c>
      <c r="N14" s="390">
        <f t="shared" si="6"/>
        <v>0</v>
      </c>
      <c r="O14" s="390">
        <f t="shared" si="7"/>
        <v>0</v>
      </c>
      <c r="P14" s="437">
        <f t="shared" si="8"/>
        <v>0</v>
      </c>
      <c r="Q14" s="437">
        <f t="shared" si="9"/>
        <v>0</v>
      </c>
      <c r="R14" s="437">
        <f t="shared" si="10"/>
        <v>0</v>
      </c>
      <c r="S14" s="437">
        <f t="shared" si="11"/>
        <v>0</v>
      </c>
      <c r="T14" s="144">
        <f t="shared" si="0"/>
        <v>0</v>
      </c>
      <c r="AE14" s="98"/>
      <c r="AF14" s="342"/>
      <c r="AG14" s="342"/>
      <c r="AH14" s="342"/>
      <c r="AI14" s="342"/>
      <c r="AJ14" s="342"/>
      <c r="AK14" s="342"/>
      <c r="AL14" s="342"/>
      <c r="AM14" s="342"/>
      <c r="AN14" s="342"/>
      <c r="AO14" s="342"/>
      <c r="AP14" s="342"/>
      <c r="AQ14" s="342"/>
      <c r="AR14" s="342"/>
      <c r="AS14" s="342"/>
      <c r="AT14" s="342"/>
      <c r="AU14" s="342"/>
      <c r="AV14" s="342"/>
      <c r="AW14" s="342"/>
      <c r="AX14" s="342"/>
      <c r="AY14" s="342"/>
      <c r="AZ14" s="342"/>
      <c r="BA14" s="342"/>
      <c r="BB14" s="342"/>
      <c r="BC14" s="342"/>
      <c r="BD14" s="342"/>
      <c r="BE14" s="342"/>
      <c r="BF14" s="342"/>
      <c r="BG14" s="342"/>
      <c r="BH14" s="342"/>
    </row>
    <row r="15" spans="1:60" ht="15.6" customHeight="1" x14ac:dyDescent="0.2">
      <c r="A15" s="352"/>
      <c r="B15" s="409" t="s">
        <v>224</v>
      </c>
      <c r="C15" s="383">
        <v>0</v>
      </c>
      <c r="D15" s="383">
        <v>0</v>
      </c>
      <c r="E15" s="391">
        <v>0</v>
      </c>
      <c r="F15" s="353">
        <f t="shared" si="1"/>
        <v>0</v>
      </c>
      <c r="G15" s="423"/>
      <c r="H15" s="435">
        <f>((N(C15)+(N(D15)/$V$35))*$U$35*IF(B$20="lovibond",N(E15),(0.375*N(E15))+0.561))/('4. Water Adjustment'!$V$18*$X$35)</f>
        <v>0</v>
      </c>
      <c r="I15" s="436">
        <f>HLOOKUP(J15,aciditytable,11,FALSE)</f>
        <v>0</v>
      </c>
      <c r="J15" s="434">
        <f t="shared" si="2"/>
        <v>1</v>
      </c>
      <c r="K15" s="390">
        <f t="shared" si="3"/>
        <v>0</v>
      </c>
      <c r="L15" s="390">
        <f t="shared" si="4"/>
        <v>0</v>
      </c>
      <c r="M15" s="390">
        <f t="shared" si="5"/>
        <v>0</v>
      </c>
      <c r="N15" s="390">
        <f t="shared" si="6"/>
        <v>0</v>
      </c>
      <c r="O15" s="390">
        <f t="shared" si="7"/>
        <v>0</v>
      </c>
      <c r="P15" s="437">
        <f t="shared" si="8"/>
        <v>0</v>
      </c>
      <c r="Q15" s="437">
        <f t="shared" si="9"/>
        <v>0</v>
      </c>
      <c r="R15" s="437">
        <f t="shared" si="10"/>
        <v>0</v>
      </c>
      <c r="S15" s="437">
        <f t="shared" si="11"/>
        <v>0</v>
      </c>
      <c r="T15" s="144">
        <f t="shared" si="0"/>
        <v>0</v>
      </c>
      <c r="AE15" s="98"/>
      <c r="AF15" s="342"/>
      <c r="AG15" s="342"/>
      <c r="AH15" s="342"/>
      <c r="AI15" s="342"/>
      <c r="AJ15" s="342"/>
      <c r="AK15" s="342"/>
      <c r="AL15" s="342"/>
      <c r="AM15" s="342"/>
      <c r="AN15" s="342"/>
      <c r="AO15" s="342"/>
      <c r="AP15" s="342"/>
      <c r="AQ15" s="342"/>
      <c r="AR15" s="342"/>
      <c r="AS15" s="342"/>
      <c r="AT15" s="342"/>
      <c r="AU15" s="342"/>
      <c r="AV15" s="342"/>
      <c r="AW15" s="342"/>
      <c r="AX15" s="342"/>
      <c r="AY15" s="342"/>
      <c r="AZ15" s="342"/>
      <c r="BA15" s="342"/>
      <c r="BB15" s="342"/>
      <c r="BC15" s="342"/>
      <c r="BD15" s="342"/>
      <c r="BE15" s="342"/>
      <c r="BF15" s="342"/>
      <c r="BG15" s="342"/>
      <c r="BH15" s="342"/>
    </row>
    <row r="16" spans="1:60" ht="15.6" customHeight="1" x14ac:dyDescent="0.2">
      <c r="A16" s="352" t="s">
        <v>469</v>
      </c>
      <c r="B16" s="409" t="s">
        <v>224</v>
      </c>
      <c r="C16" s="383">
        <v>0</v>
      </c>
      <c r="D16" s="383">
        <v>0</v>
      </c>
      <c r="E16" s="391">
        <v>0</v>
      </c>
      <c r="F16" s="353">
        <f t="shared" si="1"/>
        <v>0</v>
      </c>
      <c r="G16" s="423"/>
      <c r="H16" s="435">
        <f>((N(C16)+(N(D16)/$V$35))*$U$35*IF(B$20="lovibond",N(E16),(0.375*N(E16))+0.561))/('4. Water Adjustment'!$V$18*$X$35)</f>
        <v>0</v>
      </c>
      <c r="I16" s="436">
        <f>HLOOKUP(J16,aciditytable,12,FALSE)</f>
        <v>0</v>
      </c>
      <c r="J16" s="434">
        <f t="shared" si="2"/>
        <v>1</v>
      </c>
      <c r="K16" s="390">
        <f t="shared" si="3"/>
        <v>0</v>
      </c>
      <c r="L16" s="390">
        <f t="shared" si="4"/>
        <v>0</v>
      </c>
      <c r="M16" s="390">
        <f t="shared" si="5"/>
        <v>0</v>
      </c>
      <c r="N16" s="390">
        <f t="shared" si="6"/>
        <v>0</v>
      </c>
      <c r="O16" s="390">
        <f t="shared" si="7"/>
        <v>0</v>
      </c>
      <c r="P16" s="437">
        <f t="shared" si="8"/>
        <v>0</v>
      </c>
      <c r="Q16" s="437">
        <f t="shared" si="9"/>
        <v>0</v>
      </c>
      <c r="R16" s="437">
        <f t="shared" si="10"/>
        <v>0</v>
      </c>
      <c r="S16" s="437">
        <f t="shared" si="11"/>
        <v>0</v>
      </c>
      <c r="T16" s="144">
        <f t="shared" si="0"/>
        <v>0</v>
      </c>
      <c r="AE16" s="98"/>
      <c r="AF16" s="342"/>
      <c r="AG16" s="342"/>
      <c r="AH16" s="342"/>
      <c r="AI16" s="342"/>
      <c r="AJ16" s="342"/>
      <c r="AK16" s="342"/>
      <c r="AL16" s="342"/>
      <c r="AM16" s="342"/>
      <c r="AN16" s="342"/>
      <c r="AO16" s="342"/>
      <c r="AP16" s="342"/>
      <c r="AQ16" s="342"/>
      <c r="AR16" s="342"/>
      <c r="AS16" s="342"/>
      <c r="AT16" s="342"/>
      <c r="AU16" s="342"/>
      <c r="AV16" s="342"/>
      <c r="AW16" s="342"/>
      <c r="AX16" s="342"/>
      <c r="AY16" s="342"/>
      <c r="AZ16" s="342"/>
      <c r="BA16" s="342"/>
      <c r="BB16" s="342"/>
      <c r="BC16" s="342"/>
      <c r="BD16" s="342"/>
      <c r="BE16" s="342"/>
      <c r="BF16" s="342"/>
      <c r="BG16" s="342"/>
      <c r="BH16" s="342"/>
    </row>
    <row r="17" spans="1:60" ht="15.6" customHeight="1" x14ac:dyDescent="0.2">
      <c r="A17" s="7" t="s">
        <v>468</v>
      </c>
      <c r="B17" s="409" t="s">
        <v>224</v>
      </c>
      <c r="C17" s="383">
        <v>0</v>
      </c>
      <c r="D17" s="383">
        <v>0</v>
      </c>
      <c r="E17" s="391">
        <v>0</v>
      </c>
      <c r="F17" s="353">
        <f t="shared" si="1"/>
        <v>0</v>
      </c>
      <c r="G17" s="423"/>
      <c r="H17" s="435">
        <f>((N(C17)+(N(D17)/$V$35))*$U$35*IF(B$20="lovibond",N(E17),(0.375*N(E17))+0.561))/('4. Water Adjustment'!$V$18*$X$35)</f>
        <v>0</v>
      </c>
      <c r="I17" s="436">
        <f>HLOOKUP(J17,aciditytable,13,FALSE)</f>
        <v>0</v>
      </c>
      <c r="J17" s="434">
        <f t="shared" si="2"/>
        <v>1</v>
      </c>
      <c r="K17" s="390">
        <f t="shared" si="3"/>
        <v>0</v>
      </c>
      <c r="L17" s="390">
        <f t="shared" si="4"/>
        <v>0</v>
      </c>
      <c r="M17" s="390">
        <f t="shared" si="5"/>
        <v>0</v>
      </c>
      <c r="N17" s="390">
        <f t="shared" si="6"/>
        <v>0</v>
      </c>
      <c r="O17" s="390">
        <f t="shared" si="7"/>
        <v>0</v>
      </c>
      <c r="P17" s="437">
        <f t="shared" si="8"/>
        <v>0</v>
      </c>
      <c r="Q17" s="437">
        <f t="shared" si="9"/>
        <v>0</v>
      </c>
      <c r="R17" s="437">
        <f t="shared" si="10"/>
        <v>0</v>
      </c>
      <c r="S17" s="437">
        <f t="shared" si="11"/>
        <v>0</v>
      </c>
      <c r="T17" s="144">
        <f t="shared" si="0"/>
        <v>0</v>
      </c>
      <c r="AE17" s="98"/>
      <c r="AF17" s="342"/>
      <c r="AG17" s="342"/>
      <c r="AH17" s="342"/>
      <c r="AI17" s="342"/>
      <c r="AJ17" s="342"/>
      <c r="AK17" s="342"/>
      <c r="AL17" s="342"/>
      <c r="AM17" s="342"/>
      <c r="AN17" s="342"/>
      <c r="AO17" s="342"/>
      <c r="AP17" s="342"/>
      <c r="AQ17" s="342"/>
      <c r="AR17" s="342"/>
      <c r="AS17" s="342"/>
      <c r="AT17" s="342"/>
      <c r="AU17" s="342"/>
      <c r="AV17" s="342"/>
      <c r="AW17" s="342"/>
      <c r="AX17" s="342"/>
      <c r="AY17" s="342"/>
      <c r="AZ17" s="342"/>
      <c r="BA17" s="342"/>
      <c r="BB17" s="342"/>
      <c r="BC17" s="342"/>
      <c r="BD17" s="342"/>
      <c r="BE17" s="342"/>
      <c r="BF17" s="342"/>
      <c r="BG17" s="342"/>
      <c r="BH17" s="342"/>
    </row>
    <row r="18" spans="1:60" ht="15.6" customHeight="1" x14ac:dyDescent="0.2">
      <c r="A18" s="576" t="str">
        <f>Q35</f>
        <v>Total Grist Weight (lbs)</v>
      </c>
      <c r="B18" s="577"/>
      <c r="C18" s="392">
        <f>SUM(C6:C17)+SUM(D6:D17)/$V$35</f>
        <v>29</v>
      </c>
      <c r="D18" s="354"/>
      <c r="E18" s="355" t="s">
        <v>488</v>
      </c>
      <c r="F18" s="356">
        <f>1.97*F19</f>
        <v>11.385730607057175</v>
      </c>
      <c r="G18" s="423"/>
      <c r="H18" s="439"/>
      <c r="I18" s="435">
        <f>IF(SUM(H6:H17)&gt;167,167,SUM(H6:H17))</f>
        <v>7.1999999999999993</v>
      </c>
      <c r="J18" s="437"/>
      <c r="K18" s="440"/>
      <c r="L18" s="440"/>
      <c r="M18" s="440"/>
      <c r="N18" s="440"/>
      <c r="O18" s="440"/>
      <c r="P18" s="437">
        <f>SUM(P6:P17)</f>
        <v>13.440000000000001</v>
      </c>
      <c r="Q18" s="437">
        <f>SUM(Q6:Q17)</f>
        <v>-24.84</v>
      </c>
      <c r="R18" s="437">
        <f>SUM(R6:R17)</f>
        <v>3.76</v>
      </c>
      <c r="S18" s="437">
        <f>SUM(S6:S17)</f>
        <v>0</v>
      </c>
      <c r="AE18" s="98"/>
      <c r="AF18" s="342"/>
      <c r="AG18" s="342"/>
      <c r="AH18" s="342"/>
      <c r="AI18" s="342"/>
      <c r="AJ18" s="342"/>
      <c r="AK18" s="342"/>
      <c r="AL18" s="342"/>
      <c r="AM18" s="342"/>
      <c r="AN18" s="342"/>
      <c r="AO18" s="342"/>
      <c r="AP18" s="342"/>
      <c r="AQ18" s="342"/>
      <c r="AR18" s="342"/>
      <c r="AS18" s="342"/>
      <c r="AT18" s="342"/>
      <c r="AU18" s="342"/>
      <c r="AV18" s="342"/>
      <c r="AW18" s="342"/>
      <c r="AX18" s="342"/>
      <c r="AY18" s="342"/>
      <c r="AZ18" s="342"/>
      <c r="BA18" s="342"/>
      <c r="BB18" s="342"/>
      <c r="BC18" s="342"/>
      <c r="BD18" s="342"/>
      <c r="BE18" s="342"/>
      <c r="BF18" s="342"/>
      <c r="BG18" s="342"/>
      <c r="BH18" s="342"/>
    </row>
    <row r="19" spans="1:60" ht="15.6" customHeight="1" x14ac:dyDescent="0.2">
      <c r="A19" s="578" t="str">
        <f>T35</f>
        <v>Water to Grist Ratio (Qts/Lb)</v>
      </c>
      <c r="B19" s="579"/>
      <c r="C19" s="392">
        <f>'4. Water Adjustment'!$T$18*$W$35/C18</f>
        <v>1.5034482758620691</v>
      </c>
      <c r="D19" s="354"/>
      <c r="E19" s="355" t="s">
        <v>227</v>
      </c>
      <c r="F19" s="356">
        <f>1.49228*I18^0.6859</f>
        <v>5.7795586837853676</v>
      </c>
      <c r="G19" s="423"/>
      <c r="H19" s="439"/>
      <c r="J19" s="437"/>
      <c r="AE19" s="342"/>
      <c r="AF19" s="342"/>
      <c r="AG19" s="342"/>
      <c r="AH19" s="342"/>
      <c r="AI19" s="342"/>
      <c r="AJ19" s="342"/>
      <c r="AK19" s="342"/>
      <c r="AL19" s="342"/>
      <c r="AM19" s="342"/>
      <c r="AN19" s="342"/>
      <c r="AO19" s="342"/>
      <c r="AP19" s="342"/>
      <c r="AQ19" s="342"/>
      <c r="AR19" s="342"/>
      <c r="AS19" s="342"/>
      <c r="AT19" s="342"/>
      <c r="AU19" s="342"/>
      <c r="AV19" s="342"/>
      <c r="AW19" s="342"/>
      <c r="AX19" s="342"/>
      <c r="AY19" s="342"/>
      <c r="AZ19" s="342"/>
      <c r="BA19" s="342"/>
      <c r="BB19" s="342"/>
      <c r="BC19" s="342"/>
      <c r="BD19" s="342"/>
      <c r="BE19" s="342"/>
      <c r="BF19" s="342"/>
    </row>
    <row r="20" spans="1:60" ht="15.6" customHeight="1" x14ac:dyDescent="0.2">
      <c r="A20" s="357" t="s">
        <v>484</v>
      </c>
      <c r="B20" s="410" t="s">
        <v>485</v>
      </c>
      <c r="C20" s="572" t="s">
        <v>969</v>
      </c>
      <c r="D20" s="572"/>
      <c r="E20" s="573"/>
      <c r="F20" s="411" t="s">
        <v>550</v>
      </c>
      <c r="G20" s="423"/>
      <c r="H20" s="441"/>
      <c r="I20" s="439"/>
      <c r="J20" s="437"/>
      <c r="AE20" s="342"/>
      <c r="AF20" s="342"/>
      <c r="AG20" s="342"/>
      <c r="AH20" s="342"/>
      <c r="AI20" s="342"/>
      <c r="AJ20" s="342"/>
      <c r="AK20" s="342"/>
      <c r="AL20" s="342"/>
      <c r="AM20" s="342"/>
      <c r="AN20" s="342"/>
      <c r="AO20" s="342"/>
      <c r="AP20" s="342"/>
      <c r="AQ20" s="342"/>
      <c r="AR20" s="342"/>
      <c r="AS20" s="342"/>
      <c r="AT20" s="342"/>
      <c r="AU20" s="342"/>
      <c r="AV20" s="342"/>
      <c r="AW20" s="342"/>
      <c r="AX20" s="342"/>
      <c r="AY20" s="342"/>
      <c r="AZ20" s="342"/>
      <c r="BA20" s="342"/>
      <c r="BB20" s="342"/>
      <c r="BC20" s="342"/>
      <c r="BD20" s="342"/>
      <c r="BE20" s="342"/>
      <c r="BF20" s="342"/>
    </row>
    <row r="21" spans="1:60" ht="15.6" customHeight="1" x14ac:dyDescent="0.2">
      <c r="A21" s="357" t="s">
        <v>230</v>
      </c>
      <c r="B21" s="410" t="s">
        <v>221</v>
      </c>
      <c r="C21" s="574" t="s">
        <v>970</v>
      </c>
      <c r="D21" s="574"/>
      <c r="E21" s="575"/>
      <c r="F21" s="411" t="s">
        <v>550</v>
      </c>
      <c r="G21" s="423"/>
      <c r="H21" s="441"/>
      <c r="I21" s="437" t="b">
        <f>OR(J6=5,J7=5,J8=5,J9=5,J10=5,J11=5,J12=5,J13=5,J14=5,J15=5,J16=5,J17=5)</f>
        <v>0</v>
      </c>
      <c r="J21" s="437"/>
      <c r="O21" s="144" t="s">
        <v>549</v>
      </c>
      <c r="AE21" s="342"/>
      <c r="AF21" s="342"/>
      <c r="AG21" s="342"/>
      <c r="AH21" s="342"/>
      <c r="AI21" s="342"/>
      <c r="AJ21" s="342"/>
      <c r="AK21" s="342"/>
      <c r="AL21" s="342"/>
      <c r="AM21" s="342"/>
      <c r="AN21" s="342"/>
      <c r="AO21" s="342"/>
      <c r="AP21" s="342"/>
      <c r="AQ21" s="342"/>
      <c r="AR21" s="342"/>
      <c r="AS21" s="342"/>
      <c r="AT21" s="342"/>
      <c r="AU21" s="342"/>
      <c r="AV21" s="342"/>
      <c r="AW21" s="342"/>
      <c r="AX21" s="342"/>
      <c r="AY21" s="342"/>
      <c r="AZ21" s="342"/>
      <c r="BA21" s="342"/>
      <c r="BB21" s="342"/>
      <c r="BC21" s="342"/>
      <c r="BD21" s="342"/>
      <c r="BE21" s="342"/>
      <c r="BF21" s="342"/>
    </row>
    <row r="22" spans="1:60" ht="15" customHeight="1" x14ac:dyDescent="0.2">
      <c r="A22" s="358" t="str">
        <f>IF(B21="existing water","Unadjusted Existing Water is selected","")</f>
        <v/>
      </c>
      <c r="B22" s="359"/>
      <c r="C22" s="360"/>
      <c r="D22" s="361"/>
      <c r="E22" s="362"/>
      <c r="F22" s="362"/>
      <c r="G22" s="423"/>
      <c r="H22" s="441"/>
      <c r="I22" s="439"/>
      <c r="J22" s="437"/>
      <c r="O22" s="144" t="s">
        <v>550</v>
      </c>
      <c r="AE22" s="342"/>
      <c r="AF22" s="342"/>
      <c r="AG22" s="342"/>
      <c r="AH22" s="342"/>
      <c r="AI22" s="342"/>
      <c r="AJ22" s="342"/>
      <c r="AK22" s="342"/>
      <c r="AL22" s="342"/>
      <c r="AM22" s="342"/>
      <c r="AN22" s="342"/>
      <c r="AO22" s="342"/>
      <c r="AP22" s="342"/>
      <c r="AQ22" s="342"/>
      <c r="AR22" s="342"/>
      <c r="AS22" s="342"/>
      <c r="AT22" s="342"/>
      <c r="AU22" s="342"/>
      <c r="AV22" s="342"/>
      <c r="AW22" s="342"/>
      <c r="AX22" s="342"/>
      <c r="AY22" s="342"/>
      <c r="AZ22" s="342"/>
      <c r="BA22" s="342"/>
      <c r="BB22" s="342"/>
      <c r="BC22" s="342"/>
      <c r="BD22" s="342"/>
      <c r="BE22" s="342"/>
      <c r="BF22" s="342"/>
    </row>
    <row r="23" spans="1:60" ht="26.1" customHeight="1" x14ac:dyDescent="0.2">
      <c r="A23" s="554" t="s">
        <v>494</v>
      </c>
      <c r="B23" s="555"/>
      <c r="C23" s="555"/>
      <c r="D23" s="555"/>
      <c r="E23" s="555"/>
      <c r="F23" s="556"/>
      <c r="G23" s="423"/>
      <c r="H23" s="442"/>
      <c r="I23" s="443"/>
      <c r="J23" s="437"/>
      <c r="AE23" s="342"/>
      <c r="AF23" s="342"/>
      <c r="AG23" s="342"/>
      <c r="AH23" s="342"/>
      <c r="AI23" s="342"/>
      <c r="AJ23" s="342"/>
      <c r="AK23" s="342"/>
      <c r="AL23" s="342"/>
      <c r="AM23" s="342"/>
      <c r="AN23" s="342"/>
      <c r="AO23" s="342"/>
      <c r="AP23" s="342"/>
      <c r="AQ23" s="342"/>
      <c r="AR23" s="342"/>
      <c r="AS23" s="342"/>
      <c r="AT23" s="342"/>
      <c r="AU23" s="342"/>
      <c r="AV23" s="342"/>
      <c r="AW23" s="342"/>
      <c r="AX23" s="342"/>
      <c r="AY23" s="342"/>
      <c r="AZ23" s="342"/>
      <c r="BA23" s="342"/>
      <c r="BB23" s="342"/>
      <c r="BC23" s="342"/>
      <c r="BD23" s="342"/>
      <c r="BE23" s="342"/>
      <c r="BF23" s="342"/>
    </row>
    <row r="24" spans="1:60" ht="15.6" customHeight="1" x14ac:dyDescent="0.2">
      <c r="A24" s="389" t="str">
        <f>IF(OR($J6=5,$J7=5,$J8=5,$J9=5,$J10=5,$J11=5,$J12=5,$J13=5,$J14=5,$J15=5,$J16=5,$J17=5),"Lactate added to water (ppm) ="," ")</f>
        <v xml:space="preserve"> </v>
      </c>
      <c r="B24" s="388">
        <f>K24</f>
        <v>0</v>
      </c>
      <c r="E24" s="363" t="s">
        <v>233</v>
      </c>
      <c r="F24" s="364">
        <f ca="1">IFERROR(IF(5.76-0.17*I26&lt;0,0.1,(5.76-0.17*I26)-(('4. Water Adjustment'!B28)/100)*0.1),5)</f>
        <v>5.4000233247637608</v>
      </c>
      <c r="G24" s="423"/>
      <c r="I24" s="436">
        <f ca="1">IF(B21="existing water",O28,O29)</f>
        <v>-94.78315299945352</v>
      </c>
      <c r="J24" s="444"/>
      <c r="K24" s="445">
        <f>IF(OR($J6=5,$J7=5,$J8=5,$J9=5,$J10=5,$J11=5,$J12=5,$J13=5,$J14=5,$J15=5,$J16=5,$J17=5),(93/($N$35*'4. Water Adjustment'!T18))*(IF($J6=5,$O6,0)+IF($J7=5,$O7,0)+IF($J8=5,$O8,0)+IF($J9=5,$O9,0)+IF($J10=5,$O10,0)+IF($J11=5,$O11,0)+IF($J12=5,$O12,0)+IF($J13=5,$O13,0)+IF($J14=5,$O14,0)+IF($J15=5,$O15,0)+IF($J16=5,$O16,0)+IF($J17=5,$O17,0)),0)</f>
        <v>0</v>
      </c>
      <c r="AE24" s="342"/>
      <c r="AF24" s="342"/>
      <c r="AG24" s="342"/>
      <c r="AH24" s="342"/>
      <c r="AI24" s="342"/>
      <c r="AJ24" s="342"/>
      <c r="AK24" s="342"/>
      <c r="AL24" s="342"/>
      <c r="AM24" s="342"/>
      <c r="AN24" s="342"/>
      <c r="AO24" s="342"/>
      <c r="AP24" s="342"/>
      <c r="AQ24" s="342"/>
      <c r="AR24" s="342"/>
      <c r="AS24" s="342"/>
      <c r="AT24" s="342"/>
      <c r="AU24" s="342"/>
      <c r="AV24" s="342"/>
      <c r="AW24" s="342"/>
      <c r="AX24" s="342"/>
      <c r="AY24" s="342"/>
      <c r="AZ24" s="342"/>
      <c r="BA24" s="342"/>
      <c r="BB24" s="342"/>
      <c r="BC24" s="342"/>
      <c r="BD24" s="342"/>
      <c r="BE24" s="342"/>
      <c r="BF24" s="342"/>
    </row>
    <row r="25" spans="1:60" ht="15.6" customHeight="1" x14ac:dyDescent="0.2">
      <c r="A25" s="357" t="s">
        <v>551</v>
      </c>
      <c r="F25" s="365" t="str">
        <f ca="1">IF(F24&lt;5.15,"More Mash Water Alkalinity is Needed",IF(F24&gt;5.75,"Less Mash Water Alkalinity is Needed",""))</f>
        <v/>
      </c>
      <c r="G25" s="423"/>
      <c r="I25" s="446">
        <f>IF(AND(F20="yes",F21="yes"),P18,IF(F20="yes",P18+S18,IF(F21="yes",P18+R18,SUM(I6:I17))))</f>
        <v>-7.6399999999999988</v>
      </c>
      <c r="J25" s="437">
        <f>IF(OR(L35=1,L35=3),C19,C19*0.4792)</f>
        <v>1.5034482758620691</v>
      </c>
      <c r="AE25" s="342"/>
      <c r="AF25" s="342"/>
      <c r="AG25" s="342"/>
      <c r="AH25" s="342"/>
      <c r="AI25" s="342"/>
      <c r="AJ25" s="342"/>
      <c r="AK25" s="342"/>
      <c r="AL25" s="342"/>
      <c r="AM25" s="342"/>
      <c r="AN25" s="342"/>
      <c r="AO25" s="342"/>
      <c r="AP25" s="342"/>
      <c r="AQ25" s="342"/>
      <c r="AR25" s="342"/>
      <c r="AS25" s="342"/>
      <c r="AT25" s="342"/>
      <c r="AU25" s="342"/>
      <c r="AV25" s="342"/>
      <c r="AW25" s="342"/>
      <c r="AX25" s="342"/>
      <c r="AY25" s="342"/>
      <c r="AZ25" s="342"/>
      <c r="BA25" s="342"/>
      <c r="BB25" s="342"/>
      <c r="BC25" s="342"/>
      <c r="BD25" s="342"/>
      <c r="BE25" s="342"/>
      <c r="BF25" s="342"/>
    </row>
    <row r="26" spans="1:60" ht="15.6" customHeight="1" x14ac:dyDescent="0.2">
      <c r="A26" s="366">
        <v>1</v>
      </c>
      <c r="B26" s="568" t="s">
        <v>489</v>
      </c>
      <c r="C26" s="562" t="s">
        <v>377</v>
      </c>
      <c r="D26" s="563"/>
      <c r="E26" s="563"/>
      <c r="F26" s="564"/>
      <c r="G26" s="423"/>
      <c r="H26" s="439"/>
      <c r="I26" s="446">
        <f ca="1">(I25-(I24*J25/1.5))/($N$35*'4. Water Adjustment'!$T$18)</f>
        <v>2.1175098543308182</v>
      </c>
      <c r="J26" s="440"/>
      <c r="AE26" s="342"/>
      <c r="AF26" s="342"/>
      <c r="AG26" s="342"/>
      <c r="AH26" s="342"/>
      <c r="AI26" s="342"/>
      <c r="AJ26" s="342"/>
      <c r="AK26" s="342"/>
      <c r="AL26" s="342"/>
      <c r="AM26" s="342"/>
      <c r="AN26" s="342"/>
      <c r="AO26" s="342"/>
      <c r="AP26" s="342"/>
      <c r="AQ26" s="342"/>
      <c r="AR26" s="342"/>
      <c r="AS26" s="342"/>
      <c r="AT26" s="342"/>
      <c r="AU26" s="342"/>
      <c r="AV26" s="342"/>
      <c r="AW26" s="342"/>
      <c r="AX26" s="342"/>
      <c r="AY26" s="342"/>
      <c r="AZ26" s="342"/>
      <c r="BA26" s="342"/>
      <c r="BB26" s="342"/>
      <c r="BC26" s="342"/>
      <c r="BD26" s="342"/>
      <c r="BE26" s="342"/>
      <c r="BF26" s="342"/>
    </row>
    <row r="27" spans="1:60" ht="15.6" customHeight="1" x14ac:dyDescent="0.2">
      <c r="B27" s="568"/>
      <c r="C27" s="565" t="s">
        <v>859</v>
      </c>
      <c r="D27" s="566"/>
      <c r="E27" s="566"/>
      <c r="F27" s="567"/>
      <c r="G27" s="423"/>
      <c r="H27" s="439"/>
      <c r="X27" s="144" t="s">
        <v>996</v>
      </c>
      <c r="AE27" s="342"/>
      <c r="AF27" s="342"/>
      <c r="AG27" s="342"/>
      <c r="AH27" s="342"/>
      <c r="AI27" s="342"/>
      <c r="AJ27" s="342"/>
      <c r="AK27" s="342"/>
      <c r="AL27" s="342"/>
      <c r="AM27" s="342"/>
      <c r="AN27" s="342"/>
      <c r="AO27" s="342"/>
      <c r="AP27" s="342"/>
      <c r="AQ27" s="342"/>
      <c r="AR27" s="342"/>
      <c r="AS27" s="342"/>
      <c r="AT27" s="342"/>
      <c r="AU27" s="342"/>
      <c r="AV27" s="342"/>
      <c r="AW27" s="342"/>
      <c r="AX27" s="342"/>
      <c r="AY27" s="342"/>
      <c r="AZ27" s="342"/>
      <c r="BA27" s="342"/>
      <c r="BB27" s="342"/>
      <c r="BC27" s="342"/>
      <c r="BD27" s="342"/>
      <c r="BE27" s="342"/>
      <c r="BF27" s="342"/>
    </row>
    <row r="28" spans="1:60" ht="15.6" customHeight="1" x14ac:dyDescent="0.2">
      <c r="A28" s="14" t="s">
        <v>990</v>
      </c>
      <c r="B28" s="568"/>
      <c r="C28" s="569" t="s">
        <v>376</v>
      </c>
      <c r="D28" s="570"/>
      <c r="E28" s="570"/>
      <c r="F28" s="571"/>
      <c r="G28" s="423"/>
      <c r="H28" s="439"/>
      <c r="M28" s="447">
        <v>1</v>
      </c>
      <c r="N28" s="447" t="s">
        <v>220</v>
      </c>
      <c r="O28" s="447">
        <f>$N$35*'4. Water Adjustment'!$T$18*'4. Water Adjustment'!V9/50</f>
        <v>0</v>
      </c>
      <c r="P28" s="447">
        <v>1</v>
      </c>
      <c r="Q28" s="447" t="s">
        <v>485</v>
      </c>
      <c r="R28" s="447" t="s">
        <v>167</v>
      </c>
      <c r="X28" s="144" t="s">
        <v>997</v>
      </c>
      <c r="AE28" s="342"/>
      <c r="AF28" s="342"/>
      <c r="AG28" s="342"/>
      <c r="AH28" s="342"/>
      <c r="AI28" s="342"/>
      <c r="AJ28" s="342"/>
      <c r="AK28" s="342"/>
      <c r="AL28" s="342"/>
      <c r="AM28" s="342"/>
      <c r="AN28" s="342"/>
      <c r="AO28" s="342"/>
      <c r="AP28" s="342"/>
      <c r="AQ28" s="342"/>
      <c r="AR28" s="342"/>
      <c r="AS28" s="342"/>
      <c r="AT28" s="342"/>
      <c r="AU28" s="342"/>
      <c r="AV28" s="342"/>
      <c r="AW28" s="342"/>
      <c r="AX28" s="342"/>
      <c r="AY28" s="342"/>
      <c r="AZ28" s="342"/>
      <c r="BA28" s="342"/>
      <c r="BB28" s="342"/>
      <c r="BC28" s="342"/>
      <c r="BD28" s="342"/>
      <c r="BE28" s="342"/>
      <c r="BF28" s="342"/>
    </row>
    <row r="29" spans="1:60" ht="56.65" customHeight="1" x14ac:dyDescent="0.25">
      <c r="A29" s="541" t="s">
        <v>975</v>
      </c>
      <c r="B29" s="552"/>
      <c r="C29" s="552"/>
      <c r="D29" s="552"/>
      <c r="E29" s="552"/>
      <c r="F29" s="552"/>
      <c r="G29" s="423"/>
      <c r="H29" s="448"/>
      <c r="I29" s="448"/>
      <c r="K29" s="449"/>
      <c r="M29" s="447">
        <v>2</v>
      </c>
      <c r="N29" s="447" t="s">
        <v>221</v>
      </c>
      <c r="O29" s="447">
        <f ca="1">$N$35*'4. Water Adjustment'!$T$18*'4. Water Adjustment'!U17/50</f>
        <v>-94.78315299945352</v>
      </c>
      <c r="P29" s="447">
        <v>2</v>
      </c>
      <c r="Q29" s="447" t="s">
        <v>486</v>
      </c>
      <c r="R29" s="447" t="s">
        <v>487</v>
      </c>
      <c r="AE29" s="342"/>
      <c r="AF29" s="342"/>
      <c r="AG29" s="342"/>
      <c r="AH29" s="342"/>
      <c r="AI29" s="342"/>
      <c r="AJ29" s="342"/>
      <c r="AK29" s="342"/>
      <c r="AL29" s="342"/>
      <c r="AM29" s="342"/>
      <c r="AN29" s="342"/>
      <c r="AO29" s="342"/>
      <c r="AP29" s="342"/>
      <c r="AQ29" s="342"/>
      <c r="AR29" s="342"/>
      <c r="AS29" s="342"/>
      <c r="AT29" s="342"/>
      <c r="AU29" s="342"/>
      <c r="AV29" s="342"/>
      <c r="AW29" s="342"/>
      <c r="AX29" s="342"/>
      <c r="AY29" s="342"/>
      <c r="AZ29" s="342"/>
      <c r="BA29" s="342"/>
      <c r="BB29" s="342"/>
      <c r="BC29" s="342"/>
      <c r="BD29" s="342"/>
      <c r="BE29" s="342"/>
      <c r="BF29" s="342"/>
    </row>
    <row r="30" spans="1:60" ht="32.1" customHeight="1" x14ac:dyDescent="0.2">
      <c r="A30" s="553" t="s">
        <v>453</v>
      </c>
      <c r="B30" s="553"/>
      <c r="C30" s="553"/>
      <c r="D30" s="553"/>
      <c r="E30" s="553"/>
      <c r="F30" s="553"/>
      <c r="G30" s="424"/>
      <c r="I30" s="440"/>
      <c r="J30" s="440"/>
      <c r="AE30" s="342"/>
      <c r="AF30" s="342"/>
      <c r="AG30" s="342"/>
      <c r="AH30" s="342"/>
      <c r="AI30" s="342"/>
      <c r="AJ30" s="342"/>
      <c r="AK30" s="342"/>
      <c r="AL30" s="342"/>
      <c r="AM30" s="342"/>
      <c r="AN30" s="342"/>
      <c r="AO30" s="342"/>
      <c r="AP30" s="342"/>
      <c r="AQ30" s="342"/>
      <c r="AR30" s="342"/>
      <c r="AS30" s="342"/>
      <c r="AT30" s="342"/>
      <c r="AU30" s="342"/>
      <c r="AV30" s="342"/>
      <c r="AW30" s="342"/>
      <c r="AX30" s="342"/>
      <c r="AY30" s="342"/>
      <c r="AZ30" s="342"/>
      <c r="BA30" s="342"/>
      <c r="BB30" s="342"/>
      <c r="BC30" s="342"/>
      <c r="BD30" s="342"/>
      <c r="BE30" s="342"/>
      <c r="BF30" s="342"/>
    </row>
    <row r="31" spans="1:60" ht="15" customHeight="1" x14ac:dyDescent="0.2">
      <c r="J31" s="440"/>
      <c r="L31" s="99">
        <v>1</v>
      </c>
      <c r="M31" s="99" t="s">
        <v>392</v>
      </c>
      <c r="N31" s="99">
        <v>3.7850000000000001</v>
      </c>
      <c r="O31" s="99" t="s">
        <v>168</v>
      </c>
      <c r="P31" s="99" t="s">
        <v>165</v>
      </c>
      <c r="Q31" s="99" t="s">
        <v>226</v>
      </c>
      <c r="R31" s="99" t="s">
        <v>410</v>
      </c>
      <c r="S31" s="99" t="s">
        <v>409</v>
      </c>
      <c r="T31" s="99" t="s">
        <v>222</v>
      </c>
      <c r="U31" s="99">
        <v>1</v>
      </c>
      <c r="V31" s="99">
        <v>16</v>
      </c>
      <c r="W31" s="99">
        <v>4</v>
      </c>
      <c r="X31" s="99">
        <v>1</v>
      </c>
      <c r="AE31" s="342"/>
      <c r="AF31" s="342"/>
      <c r="AG31" s="342"/>
      <c r="AH31" s="342"/>
      <c r="AI31" s="342"/>
      <c r="AJ31" s="342"/>
      <c r="AK31" s="342"/>
      <c r="AL31" s="342"/>
      <c r="AM31" s="342"/>
      <c r="AN31" s="342"/>
      <c r="AO31" s="342"/>
      <c r="AP31" s="342"/>
      <c r="AQ31" s="342"/>
      <c r="AR31" s="342"/>
      <c r="AS31" s="342"/>
      <c r="AT31" s="342"/>
      <c r="AU31" s="342"/>
      <c r="AV31" s="342"/>
      <c r="AW31" s="342"/>
      <c r="AX31" s="342"/>
      <c r="AY31" s="342"/>
      <c r="AZ31" s="342"/>
      <c r="BA31" s="342"/>
      <c r="BB31" s="342"/>
      <c r="BC31" s="342"/>
      <c r="BD31" s="342"/>
      <c r="BE31" s="342"/>
      <c r="BF31" s="342"/>
    </row>
    <row r="32" spans="1:60" ht="15" customHeight="1" x14ac:dyDescent="0.25">
      <c r="A32" s="98"/>
      <c r="B32" s="98"/>
      <c r="C32" s="98"/>
      <c r="D32" s="98"/>
      <c r="E32" s="98"/>
      <c r="F32" s="98"/>
      <c r="L32" s="99">
        <v>2</v>
      </c>
      <c r="M32" s="99" t="s">
        <v>271</v>
      </c>
      <c r="N32" s="99">
        <v>1</v>
      </c>
      <c r="O32" s="450" t="s">
        <v>407</v>
      </c>
      <c r="P32" s="450" t="s">
        <v>408</v>
      </c>
      <c r="Q32" s="450" t="s">
        <v>411</v>
      </c>
      <c r="R32" s="99" t="s">
        <v>413</v>
      </c>
      <c r="S32" s="99" t="s">
        <v>414</v>
      </c>
      <c r="T32" s="99" t="s">
        <v>412</v>
      </c>
      <c r="U32" s="99">
        <v>2.2050000000000001</v>
      </c>
      <c r="V32" s="99">
        <v>1000</v>
      </c>
      <c r="W32" s="99">
        <v>1</v>
      </c>
      <c r="X32" s="99">
        <v>0.26420080000000001</v>
      </c>
      <c r="AE32" s="342"/>
      <c r="AF32" s="342"/>
      <c r="AG32" s="342"/>
      <c r="AH32" s="342"/>
      <c r="AI32" s="342"/>
      <c r="AJ32" s="342"/>
      <c r="AK32" s="342"/>
      <c r="AL32" s="342"/>
      <c r="AM32" s="342"/>
      <c r="AN32" s="342"/>
      <c r="AO32" s="342"/>
      <c r="AP32" s="342"/>
      <c r="AQ32" s="342"/>
      <c r="AR32" s="342"/>
      <c r="AS32" s="342"/>
      <c r="AT32" s="342"/>
      <c r="AU32" s="342"/>
      <c r="AV32" s="342"/>
      <c r="AW32" s="342"/>
      <c r="AX32" s="342"/>
      <c r="AY32" s="342"/>
      <c r="AZ32" s="342"/>
      <c r="BA32" s="342"/>
      <c r="BB32" s="342"/>
      <c r="BC32" s="342"/>
      <c r="BD32" s="342"/>
      <c r="BE32" s="342"/>
      <c r="BF32" s="342"/>
    </row>
    <row r="33" spans="1:58" ht="15" customHeight="1" x14ac:dyDescent="0.2">
      <c r="A33" s="98"/>
      <c r="B33" s="98"/>
      <c r="C33" s="98"/>
      <c r="D33" s="98"/>
      <c r="E33" s="98"/>
      <c r="F33" s="98"/>
      <c r="L33" s="99">
        <v>3</v>
      </c>
      <c r="M33" s="99" t="s">
        <v>393</v>
      </c>
      <c r="N33" s="99">
        <v>117.33499999999999</v>
      </c>
      <c r="O33" s="99" t="s">
        <v>168</v>
      </c>
      <c r="P33" s="99" t="s">
        <v>165</v>
      </c>
      <c r="Q33" s="99" t="s">
        <v>226</v>
      </c>
      <c r="R33" s="99" t="s">
        <v>435</v>
      </c>
      <c r="S33" s="99" t="s">
        <v>415</v>
      </c>
      <c r="T33" s="99" t="s">
        <v>222</v>
      </c>
      <c r="U33" s="99">
        <v>1</v>
      </c>
      <c r="V33" s="99">
        <v>16</v>
      </c>
      <c r="W33" s="99">
        <v>124</v>
      </c>
      <c r="X33" s="99">
        <v>31</v>
      </c>
      <c r="AE33" s="342"/>
      <c r="AF33" s="342"/>
      <c r="AG33" s="342"/>
      <c r="AH33" s="342"/>
      <c r="AI33" s="342"/>
      <c r="AJ33" s="342"/>
      <c r="AK33" s="342"/>
      <c r="AL33" s="342"/>
      <c r="AM33" s="342"/>
      <c r="AN33" s="342"/>
      <c r="AO33" s="342"/>
      <c r="AP33" s="342"/>
      <c r="AQ33" s="342"/>
      <c r="AR33" s="342"/>
      <c r="AS33" s="342"/>
      <c r="AT33" s="342"/>
      <c r="AU33" s="342"/>
      <c r="AV33" s="342"/>
      <c r="AW33" s="342"/>
      <c r="AX33" s="342"/>
      <c r="AY33" s="342"/>
      <c r="AZ33" s="342"/>
      <c r="BA33" s="342"/>
      <c r="BB33" s="342"/>
      <c r="BC33" s="342"/>
      <c r="BD33" s="342"/>
      <c r="BE33" s="342"/>
      <c r="BF33" s="342"/>
    </row>
    <row r="34" spans="1:58" ht="15" customHeight="1" x14ac:dyDescent="0.2">
      <c r="A34" s="98"/>
      <c r="B34" s="98"/>
      <c r="C34" s="98"/>
      <c r="D34" s="98"/>
      <c r="E34" s="98"/>
      <c r="F34" s="98"/>
      <c r="L34" s="99">
        <v>4</v>
      </c>
      <c r="M34" s="99" t="s">
        <v>394</v>
      </c>
      <c r="N34" s="99">
        <v>100</v>
      </c>
      <c r="O34" s="99" t="s">
        <v>407</v>
      </c>
      <c r="P34" s="99" t="s">
        <v>408</v>
      </c>
      <c r="Q34" s="99" t="s">
        <v>411</v>
      </c>
      <c r="R34" s="99" t="s">
        <v>416</v>
      </c>
      <c r="S34" s="99" t="s">
        <v>417</v>
      </c>
      <c r="T34" s="99" t="s">
        <v>412</v>
      </c>
      <c r="U34" s="99">
        <v>2.2050000000000001</v>
      </c>
      <c r="V34" s="99">
        <v>1000</v>
      </c>
      <c r="W34" s="99">
        <v>100</v>
      </c>
      <c r="X34" s="99">
        <f>100/3.785</f>
        <v>26.420079260237781</v>
      </c>
      <c r="AE34" s="342"/>
      <c r="AF34" s="342"/>
      <c r="AG34" s="342"/>
      <c r="AH34" s="342"/>
      <c r="AI34" s="342"/>
      <c r="AJ34" s="342"/>
      <c r="AK34" s="342"/>
      <c r="AL34" s="342"/>
      <c r="AM34" s="342"/>
      <c r="AN34" s="342"/>
      <c r="AO34" s="342"/>
      <c r="AP34" s="342"/>
      <c r="AQ34" s="342"/>
      <c r="AR34" s="342"/>
      <c r="AS34" s="342"/>
      <c r="AT34" s="342"/>
      <c r="AU34" s="342"/>
      <c r="AV34" s="342"/>
      <c r="AW34" s="342"/>
      <c r="AX34" s="342"/>
      <c r="AY34" s="342"/>
      <c r="AZ34" s="342"/>
      <c r="BA34" s="342"/>
      <c r="BB34" s="342"/>
      <c r="BC34" s="342"/>
      <c r="BD34" s="342"/>
      <c r="BE34" s="342"/>
      <c r="BF34" s="342"/>
    </row>
    <row r="35" spans="1:58" ht="15" customHeight="1" x14ac:dyDescent="0.2">
      <c r="A35" s="98"/>
      <c r="B35" s="98"/>
      <c r="C35" s="98"/>
      <c r="D35" s="98"/>
      <c r="E35" s="98"/>
      <c r="F35" s="98"/>
      <c r="L35" s="268">
        <f>VLOOKUP('1. Water Report Input'!$H$7,mashvaritable,1,FALSE)</f>
        <v>1</v>
      </c>
      <c r="M35" s="266" t="str">
        <f>VLOOKUP('1. Water Report Input'!$H$7,mashvaritable,2,FALSE)</f>
        <v>Gallons</v>
      </c>
      <c r="N35" s="265">
        <f>VLOOKUP('1. Water Report Input'!$H$7,mashvaritable,3,FALSE)</f>
        <v>3.7850000000000001</v>
      </c>
      <c r="O35" s="265" t="str">
        <f>VLOOKUP('1. Water Report Input'!$H$7,mashvaritable,4,FALSE)</f>
        <v>Quantity (lb)</v>
      </c>
      <c r="P35" s="265" t="str">
        <f>VLOOKUP('1. Water Report Input'!$H$7,mashvaritable,5,FALSE)</f>
        <v>Quantity (oz)</v>
      </c>
      <c r="Q35" s="268" t="str">
        <f>VLOOKUP('1. Water Report Input'!$H$7,mashvaritable,6,FALSE)</f>
        <v>Total Grist Weight (lbs)</v>
      </c>
      <c r="R35" s="266" t="str">
        <f>VLOOKUP('1. Water Report Input'!$H$7,mashvaritable,7,FALSE)</f>
        <v>Mash Water Volume (gallons)---&gt;</v>
      </c>
      <c r="S35" s="265" t="str">
        <f>VLOOKUP('1. Water Report Input'!$H$7,mashvaritable,8,FALSE)</f>
        <v>Batch Water Volume (gallons) ---&gt;</v>
      </c>
      <c r="T35" s="265" t="str">
        <f>VLOOKUP('1. Water Report Input'!$H$7,mashvaritable,9,FALSE)</f>
        <v>Water to Grist Ratio (Qts/Lb)</v>
      </c>
      <c r="U35" s="265">
        <f>VLOOKUP('1. Water Report Input'!$H$7,mashvaritable,10,FALSE)</f>
        <v>1</v>
      </c>
      <c r="V35" s="268">
        <f>VLOOKUP('1. Water Report Input'!$H$7,mashvaritable,11,FALSE)</f>
        <v>16</v>
      </c>
      <c r="W35" s="265">
        <f>VLOOKUP('1. Water Report Input'!$H$7,mashvaritable,12,FALSE)</f>
        <v>4</v>
      </c>
      <c r="X35" s="99">
        <f>VLOOKUP('1. Water Report Input'!$H$7,mashvaritable,13,FALSE)</f>
        <v>1</v>
      </c>
      <c r="AE35" s="342"/>
      <c r="AF35" s="342"/>
      <c r="AG35" s="342"/>
      <c r="AH35" s="342"/>
      <c r="AI35" s="342"/>
      <c r="AJ35" s="342"/>
      <c r="AK35" s="342"/>
      <c r="AL35" s="342"/>
      <c r="AM35" s="342"/>
      <c r="AN35" s="342"/>
      <c r="AO35" s="342"/>
      <c r="AP35" s="342"/>
      <c r="AQ35" s="342"/>
      <c r="AR35" s="342"/>
      <c r="AS35" s="342"/>
      <c r="AT35" s="342"/>
      <c r="AU35" s="342"/>
      <c r="AV35" s="342"/>
      <c r="AW35" s="342"/>
      <c r="AX35" s="342"/>
      <c r="AY35" s="342"/>
      <c r="AZ35" s="342"/>
      <c r="BA35" s="342"/>
      <c r="BB35" s="342"/>
      <c r="BC35" s="342"/>
      <c r="BD35" s="342"/>
      <c r="BE35" s="342"/>
      <c r="BF35" s="342"/>
    </row>
    <row r="36" spans="1:58" ht="15" customHeight="1" x14ac:dyDescent="0.2">
      <c r="A36" s="98"/>
      <c r="B36" s="98"/>
      <c r="C36" s="98"/>
      <c r="D36" s="98"/>
      <c r="E36" s="98"/>
      <c r="F36" s="98"/>
      <c r="L36" s="99"/>
      <c r="M36" s="99"/>
      <c r="N36" s="99"/>
      <c r="O36" s="99"/>
      <c r="P36" s="99"/>
      <c r="Q36" s="99"/>
      <c r="R36" s="99"/>
      <c r="S36" s="99"/>
      <c r="T36" s="99"/>
      <c r="U36" s="99"/>
      <c r="V36" s="99"/>
      <c r="W36" s="99"/>
      <c r="AE36" s="342"/>
      <c r="AF36" s="342"/>
      <c r="AG36" s="342"/>
      <c r="AH36" s="342"/>
      <c r="AI36" s="342"/>
      <c r="AJ36" s="342"/>
      <c r="AK36" s="342"/>
      <c r="AL36" s="342"/>
      <c r="AM36" s="342"/>
      <c r="AN36" s="342"/>
      <c r="AO36" s="342"/>
      <c r="AP36" s="342"/>
      <c r="AQ36" s="342"/>
      <c r="AR36" s="342"/>
      <c r="AS36" s="342"/>
      <c r="AT36" s="342"/>
      <c r="AU36" s="342"/>
      <c r="AV36" s="342"/>
      <c r="AW36" s="342"/>
      <c r="AX36" s="342"/>
      <c r="AY36" s="342"/>
      <c r="AZ36" s="342"/>
      <c r="BA36" s="342"/>
      <c r="BB36" s="342"/>
      <c r="BC36" s="342"/>
      <c r="BD36" s="342"/>
      <c r="BE36" s="342"/>
      <c r="BF36" s="342"/>
    </row>
    <row r="37" spans="1:58" ht="15" customHeight="1" x14ac:dyDescent="0.2">
      <c r="A37" s="98"/>
      <c r="B37" s="98"/>
      <c r="C37" s="98"/>
      <c r="D37" s="98"/>
      <c r="E37" s="98"/>
      <c r="F37" s="98"/>
      <c r="AE37" s="342"/>
      <c r="AF37" s="342"/>
      <c r="AG37" s="342"/>
      <c r="AH37" s="342"/>
      <c r="AI37" s="342"/>
      <c r="AJ37" s="342"/>
      <c r="AK37" s="342"/>
      <c r="AL37" s="342"/>
      <c r="AM37" s="342"/>
      <c r="AN37" s="342"/>
      <c r="AO37" s="342"/>
      <c r="AP37" s="342"/>
      <c r="AQ37" s="342"/>
      <c r="AR37" s="342"/>
      <c r="AS37" s="342"/>
      <c r="AT37" s="342"/>
      <c r="AU37" s="342"/>
      <c r="AV37" s="342"/>
      <c r="AW37" s="342"/>
      <c r="AX37" s="342"/>
      <c r="AY37" s="342"/>
      <c r="AZ37" s="342"/>
      <c r="BA37" s="342"/>
      <c r="BB37" s="342"/>
      <c r="BC37" s="342"/>
      <c r="BD37" s="342"/>
      <c r="BE37" s="342"/>
      <c r="BF37" s="342"/>
    </row>
    <row r="38" spans="1:58" ht="15" customHeight="1" x14ac:dyDescent="0.2">
      <c r="A38" s="98"/>
      <c r="B38" s="98"/>
      <c r="C38" s="98"/>
      <c r="D38" s="98"/>
      <c r="E38" s="98"/>
      <c r="F38" s="98"/>
      <c r="AE38" s="342"/>
      <c r="AF38" s="342"/>
      <c r="AG38" s="342"/>
      <c r="AH38" s="342"/>
      <c r="AI38" s="342"/>
      <c r="AJ38" s="342"/>
      <c r="AK38" s="342"/>
      <c r="AL38" s="342"/>
      <c r="AM38" s="342"/>
      <c r="AN38" s="342"/>
      <c r="AO38" s="342"/>
      <c r="AP38" s="342"/>
      <c r="AQ38" s="342"/>
      <c r="AR38" s="342"/>
      <c r="AS38" s="342"/>
      <c r="AT38" s="342"/>
      <c r="AU38" s="342"/>
      <c r="AV38" s="342"/>
      <c r="AW38" s="342"/>
      <c r="AX38" s="342"/>
      <c r="AY38" s="342"/>
      <c r="AZ38" s="342"/>
      <c r="BA38" s="342"/>
      <c r="BB38" s="342"/>
      <c r="BC38" s="342"/>
      <c r="BD38" s="342"/>
      <c r="BE38" s="342"/>
      <c r="BF38" s="342"/>
    </row>
    <row r="39" spans="1:58" ht="15" customHeight="1" x14ac:dyDescent="0.2">
      <c r="A39" s="98"/>
      <c r="B39" s="98"/>
      <c r="C39" s="98"/>
      <c r="D39" s="98"/>
      <c r="E39" s="98"/>
      <c r="F39" s="98"/>
      <c r="AE39" s="342"/>
      <c r="AF39" s="342"/>
      <c r="AG39" s="342"/>
      <c r="AH39" s="342"/>
      <c r="AI39" s="342"/>
      <c r="AJ39" s="342"/>
      <c r="AK39" s="342"/>
      <c r="AL39" s="342"/>
      <c r="AM39" s="342"/>
      <c r="AN39" s="342"/>
      <c r="AO39" s="342"/>
      <c r="AP39" s="342"/>
      <c r="AQ39" s="342"/>
      <c r="AR39" s="342"/>
      <c r="AS39" s="342"/>
      <c r="AT39" s="342"/>
      <c r="AU39" s="342"/>
      <c r="AV39" s="342"/>
      <c r="AW39" s="342"/>
      <c r="AX39" s="342"/>
      <c r="AY39" s="342"/>
      <c r="AZ39" s="342"/>
      <c r="BA39" s="342"/>
      <c r="BB39" s="342"/>
      <c r="BC39" s="342"/>
      <c r="BD39" s="342"/>
      <c r="BE39" s="342"/>
      <c r="BF39" s="342"/>
    </row>
    <row r="40" spans="1:58" ht="15" customHeight="1" x14ac:dyDescent="0.2">
      <c r="A40" s="98"/>
      <c r="B40" s="98"/>
      <c r="C40" s="98"/>
      <c r="D40" s="98"/>
      <c r="E40" s="98"/>
      <c r="F40" s="98"/>
      <c r="AE40" s="342"/>
      <c r="AF40" s="342"/>
      <c r="AG40" s="342"/>
      <c r="AH40" s="342"/>
      <c r="AI40" s="342"/>
      <c r="AJ40" s="342"/>
      <c r="AK40" s="342"/>
      <c r="AL40" s="342"/>
      <c r="AM40" s="342"/>
      <c r="AN40" s="342"/>
      <c r="AO40" s="342"/>
      <c r="AP40" s="342"/>
      <c r="AQ40" s="342"/>
      <c r="AR40" s="342"/>
      <c r="AS40" s="342"/>
      <c r="AT40" s="342"/>
      <c r="AU40" s="342"/>
      <c r="AV40" s="342"/>
      <c r="AW40" s="342"/>
      <c r="AX40" s="342"/>
      <c r="AY40" s="342"/>
      <c r="AZ40" s="342"/>
      <c r="BA40" s="342"/>
      <c r="BB40" s="342"/>
      <c r="BC40" s="342"/>
      <c r="BD40" s="342"/>
      <c r="BE40" s="342"/>
      <c r="BF40" s="342"/>
    </row>
    <row r="41" spans="1:58" ht="15" customHeight="1" x14ac:dyDescent="0.2">
      <c r="A41" s="98"/>
      <c r="B41" s="98"/>
      <c r="C41" s="98"/>
      <c r="D41" s="98"/>
      <c r="E41" s="98"/>
      <c r="F41" s="98"/>
      <c r="AE41" s="342"/>
      <c r="AF41" s="342"/>
      <c r="AG41" s="342"/>
      <c r="AH41" s="342"/>
      <c r="AI41" s="342"/>
      <c r="AJ41" s="342"/>
      <c r="AK41" s="342"/>
      <c r="AL41" s="342"/>
      <c r="AM41" s="342"/>
      <c r="AN41" s="342"/>
      <c r="AO41" s="342"/>
      <c r="AP41" s="342"/>
      <c r="AQ41" s="342"/>
      <c r="AR41" s="342"/>
      <c r="AS41" s="342"/>
      <c r="AT41" s="342"/>
      <c r="AU41" s="342"/>
      <c r="AV41" s="342"/>
      <c r="AW41" s="342"/>
      <c r="AX41" s="342"/>
      <c r="AY41" s="342"/>
      <c r="AZ41" s="342"/>
      <c r="BA41" s="342"/>
      <c r="BB41" s="342"/>
      <c r="BC41" s="342"/>
      <c r="BD41" s="342"/>
      <c r="BE41" s="342"/>
      <c r="BF41" s="342"/>
    </row>
    <row r="42" spans="1:58" ht="15" customHeight="1" x14ac:dyDescent="0.2">
      <c r="A42" s="98"/>
      <c r="B42" s="98"/>
      <c r="C42" s="98"/>
      <c r="D42" s="98"/>
      <c r="E42" s="98"/>
      <c r="F42" s="98"/>
      <c r="AE42" s="342"/>
      <c r="AF42" s="342"/>
      <c r="AG42" s="342"/>
      <c r="AH42" s="342"/>
      <c r="AI42" s="342"/>
      <c r="AJ42" s="342"/>
      <c r="AK42" s="342"/>
      <c r="AL42" s="342"/>
      <c r="AM42" s="342"/>
      <c r="AN42" s="342"/>
      <c r="AO42" s="342"/>
      <c r="AP42" s="342"/>
      <c r="AQ42" s="342"/>
      <c r="AR42" s="342"/>
      <c r="AS42" s="342"/>
      <c r="AT42" s="342"/>
      <c r="AU42" s="342"/>
      <c r="AV42" s="342"/>
      <c r="AW42" s="342"/>
      <c r="AX42" s="342"/>
      <c r="AY42" s="342"/>
      <c r="AZ42" s="342"/>
      <c r="BA42" s="342"/>
      <c r="BB42" s="342"/>
      <c r="BC42" s="342"/>
      <c r="BD42" s="342"/>
      <c r="BE42" s="342"/>
      <c r="BF42" s="342"/>
    </row>
    <row r="43" spans="1:58" ht="15" customHeight="1" x14ac:dyDescent="0.2">
      <c r="A43" s="98"/>
      <c r="B43" s="98"/>
      <c r="C43" s="98"/>
      <c r="D43" s="98"/>
      <c r="E43" s="98"/>
      <c r="F43" s="98"/>
      <c r="AE43" s="342"/>
      <c r="AF43" s="342"/>
      <c r="AG43" s="342"/>
      <c r="AH43" s="342"/>
      <c r="AI43" s="342"/>
      <c r="AJ43" s="342"/>
      <c r="AK43" s="342"/>
      <c r="AL43" s="342"/>
      <c r="AM43" s="342"/>
      <c r="AN43" s="342"/>
      <c r="AO43" s="342"/>
      <c r="AP43" s="342"/>
      <c r="AQ43" s="342"/>
      <c r="AR43" s="342"/>
      <c r="AS43" s="342"/>
      <c r="AT43" s="342"/>
      <c r="AU43" s="342"/>
      <c r="AV43" s="342"/>
      <c r="AW43" s="342"/>
      <c r="AX43" s="342"/>
      <c r="AY43" s="342"/>
      <c r="AZ43" s="342"/>
      <c r="BA43" s="342"/>
      <c r="BB43" s="342"/>
      <c r="BC43" s="342"/>
      <c r="BD43" s="342"/>
      <c r="BE43" s="342"/>
      <c r="BF43" s="342"/>
    </row>
    <row r="44" spans="1:58" ht="15" customHeight="1" x14ac:dyDescent="0.2">
      <c r="A44" s="98"/>
      <c r="B44" s="98"/>
      <c r="C44" s="98"/>
      <c r="D44" s="98"/>
      <c r="E44" s="98"/>
      <c r="F44" s="98"/>
      <c r="AE44" s="342"/>
      <c r="AF44" s="342"/>
      <c r="AG44" s="342"/>
      <c r="AH44" s="342"/>
      <c r="AI44" s="342"/>
      <c r="AJ44" s="342"/>
      <c r="AK44" s="342"/>
      <c r="AL44" s="342"/>
      <c r="AM44" s="342"/>
      <c r="AN44" s="342"/>
      <c r="AO44" s="342"/>
      <c r="AP44" s="342"/>
      <c r="AQ44" s="342"/>
      <c r="AR44" s="342"/>
      <c r="AS44" s="342"/>
      <c r="AT44" s="342"/>
      <c r="AU44" s="342"/>
      <c r="AV44" s="342"/>
      <c r="AW44" s="342"/>
      <c r="AX44" s="342"/>
      <c r="AY44" s="342"/>
      <c r="AZ44" s="342"/>
      <c r="BA44" s="342"/>
      <c r="BB44" s="342"/>
      <c r="BC44" s="342"/>
      <c r="BD44" s="342"/>
      <c r="BE44" s="342"/>
      <c r="BF44" s="342"/>
    </row>
    <row r="45" spans="1:58" ht="15" customHeight="1" x14ac:dyDescent="0.2">
      <c r="A45" s="98"/>
      <c r="B45" s="98"/>
      <c r="C45" s="98"/>
      <c r="D45" s="98"/>
      <c r="E45" s="98"/>
      <c r="F45" s="98"/>
      <c r="AE45" s="342"/>
      <c r="AF45" s="342"/>
      <c r="AG45" s="342"/>
      <c r="AH45" s="342"/>
      <c r="AI45" s="342"/>
      <c r="AJ45" s="342"/>
      <c r="AK45" s="342"/>
      <c r="AL45" s="342"/>
      <c r="AM45" s="342"/>
      <c r="AN45" s="342"/>
      <c r="AO45" s="342"/>
      <c r="AP45" s="342"/>
      <c r="AQ45" s="342"/>
      <c r="AR45" s="342"/>
      <c r="AS45" s="342"/>
      <c r="AT45" s="342"/>
      <c r="AU45" s="342"/>
      <c r="AV45" s="342"/>
      <c r="AW45" s="342"/>
      <c r="AX45" s="342"/>
      <c r="AY45" s="342"/>
      <c r="AZ45" s="342"/>
      <c r="BA45" s="342"/>
      <c r="BB45" s="342"/>
      <c r="BC45" s="342"/>
      <c r="BD45" s="342"/>
      <c r="BE45" s="342"/>
      <c r="BF45" s="342"/>
    </row>
    <row r="46" spans="1:58" ht="15" customHeight="1" x14ac:dyDescent="0.2">
      <c r="A46" s="98"/>
      <c r="B46" s="98"/>
      <c r="C46" s="98"/>
      <c r="D46" s="98"/>
      <c r="E46" s="98"/>
      <c r="F46" s="98"/>
      <c r="AE46" s="342"/>
      <c r="AF46" s="342"/>
      <c r="AG46" s="342"/>
      <c r="AH46" s="342"/>
      <c r="AI46" s="342"/>
      <c r="AJ46" s="342"/>
      <c r="AK46" s="342"/>
      <c r="AL46" s="342"/>
      <c r="AM46" s="342"/>
      <c r="AN46" s="342"/>
      <c r="AO46" s="342"/>
      <c r="AP46" s="342"/>
      <c r="AQ46" s="342"/>
      <c r="AR46" s="342"/>
      <c r="AS46" s="342"/>
      <c r="AT46" s="342"/>
      <c r="AU46" s="342"/>
      <c r="AV46" s="342"/>
      <c r="AW46" s="342"/>
      <c r="AX46" s="342"/>
      <c r="AY46" s="342"/>
      <c r="AZ46" s="342"/>
      <c r="BA46" s="342"/>
      <c r="BB46" s="342"/>
      <c r="BC46" s="342"/>
      <c r="BD46" s="342"/>
      <c r="BE46" s="342"/>
      <c r="BF46" s="342"/>
    </row>
    <row r="47" spans="1:58" ht="15" customHeight="1" x14ac:dyDescent="0.2">
      <c r="A47" s="98"/>
      <c r="B47" s="98"/>
      <c r="C47" s="98"/>
      <c r="D47" s="98"/>
      <c r="E47" s="98"/>
      <c r="F47" s="98"/>
      <c r="AE47" s="342"/>
      <c r="AF47" s="342"/>
      <c r="AG47" s="342"/>
      <c r="AH47" s="342"/>
      <c r="AI47" s="342"/>
      <c r="AJ47" s="342"/>
      <c r="AK47" s="342"/>
      <c r="AL47" s="342"/>
      <c r="AM47" s="342"/>
      <c r="AN47" s="342"/>
      <c r="AO47" s="342"/>
      <c r="AP47" s="342"/>
      <c r="AQ47" s="342"/>
      <c r="AR47" s="342"/>
      <c r="AS47" s="342"/>
      <c r="AT47" s="342"/>
      <c r="AU47" s="342"/>
      <c r="AV47" s="342"/>
      <c r="AW47" s="342"/>
      <c r="AX47" s="342"/>
      <c r="AY47" s="342"/>
      <c r="AZ47" s="342"/>
      <c r="BA47" s="342"/>
      <c r="BB47" s="342"/>
      <c r="BC47" s="342"/>
      <c r="BD47" s="342"/>
      <c r="BE47" s="342"/>
      <c r="BF47" s="342"/>
    </row>
    <row r="48" spans="1:58" x14ac:dyDescent="0.2">
      <c r="A48" s="98"/>
      <c r="B48" s="98"/>
      <c r="C48" s="98"/>
      <c r="D48" s="98"/>
      <c r="E48" s="98"/>
      <c r="F48" s="98"/>
      <c r="AE48" s="342"/>
      <c r="AF48" s="342"/>
      <c r="AG48" s="342"/>
      <c r="AH48" s="342"/>
      <c r="AI48" s="342"/>
      <c r="AJ48" s="342"/>
      <c r="AK48" s="342"/>
      <c r="AL48" s="342"/>
      <c r="AM48" s="342"/>
      <c r="AN48" s="342"/>
      <c r="AO48" s="342"/>
      <c r="AP48" s="342"/>
      <c r="AQ48" s="342"/>
      <c r="AR48" s="342"/>
      <c r="AS48" s="342"/>
      <c r="AT48" s="342"/>
      <c r="AU48" s="342"/>
      <c r="AV48" s="342"/>
      <c r="AW48" s="342"/>
      <c r="AX48" s="342"/>
      <c r="AY48" s="342"/>
      <c r="AZ48" s="342"/>
      <c r="BA48" s="342"/>
      <c r="BB48" s="342"/>
      <c r="BC48" s="342"/>
      <c r="BD48" s="342"/>
      <c r="BE48" s="342"/>
      <c r="BF48" s="342"/>
    </row>
    <row r="49" spans="1:58" x14ac:dyDescent="0.2">
      <c r="A49" s="98"/>
      <c r="B49" s="98"/>
      <c r="C49" s="98"/>
      <c r="D49" s="98"/>
      <c r="E49" s="98"/>
      <c r="F49" s="98"/>
      <c r="AE49" s="342"/>
      <c r="AF49" s="342"/>
      <c r="AG49" s="342"/>
      <c r="AH49" s="342"/>
      <c r="AI49" s="342"/>
      <c r="AJ49" s="342"/>
      <c r="AK49" s="342"/>
      <c r="AL49" s="342"/>
      <c r="AM49" s="342"/>
      <c r="AN49" s="342"/>
      <c r="AO49" s="342"/>
      <c r="AP49" s="342"/>
      <c r="AQ49" s="342"/>
      <c r="AR49" s="342"/>
      <c r="AS49" s="342"/>
      <c r="AT49" s="342"/>
      <c r="AU49" s="342"/>
      <c r="AV49" s="342"/>
      <c r="AW49" s="342"/>
      <c r="AX49" s="342"/>
      <c r="AY49" s="342"/>
      <c r="AZ49" s="342"/>
      <c r="BA49" s="342"/>
      <c r="BB49" s="342"/>
      <c r="BC49" s="342"/>
      <c r="BD49" s="342"/>
      <c r="BE49" s="342"/>
      <c r="BF49" s="342"/>
    </row>
    <row r="50" spans="1:58" x14ac:dyDescent="0.2">
      <c r="A50" s="98"/>
      <c r="B50" s="98"/>
      <c r="C50" s="98"/>
      <c r="D50" s="98"/>
      <c r="E50" s="98"/>
      <c r="F50" s="98"/>
      <c r="AE50" s="98"/>
      <c r="AF50" s="98"/>
      <c r="AG50" s="98"/>
      <c r="AH50" s="98"/>
      <c r="AI50" s="98"/>
      <c r="AJ50" s="98"/>
      <c r="AK50" s="98"/>
      <c r="AL50" s="98"/>
      <c r="AM50" s="98"/>
      <c r="AN50" s="98"/>
      <c r="AO50" s="98"/>
      <c r="AP50" s="98"/>
      <c r="AQ50" s="98"/>
      <c r="AR50" s="98"/>
      <c r="AS50" s="98"/>
    </row>
    <row r="51" spans="1:58" x14ac:dyDescent="0.2">
      <c r="A51" s="98"/>
      <c r="B51" s="98"/>
      <c r="C51" s="98"/>
      <c r="D51" s="98"/>
      <c r="E51" s="98"/>
      <c r="F51" s="98"/>
      <c r="AE51" s="98"/>
      <c r="AF51" s="98"/>
      <c r="AG51" s="98"/>
      <c r="AH51" s="98"/>
      <c r="AI51" s="98"/>
      <c r="AJ51" s="98"/>
      <c r="AK51" s="98"/>
      <c r="AL51" s="98"/>
      <c r="AM51" s="98"/>
      <c r="AN51" s="98"/>
      <c r="AO51" s="98"/>
      <c r="AP51" s="98"/>
      <c r="AQ51" s="98"/>
      <c r="AR51" s="98"/>
      <c r="AS51" s="98"/>
    </row>
    <row r="52" spans="1:58" x14ac:dyDescent="0.2">
      <c r="A52" s="98"/>
      <c r="B52" s="98"/>
      <c r="C52" s="98"/>
      <c r="D52" s="98"/>
      <c r="E52" s="98"/>
      <c r="F52" s="98"/>
      <c r="AE52" s="98"/>
      <c r="AF52" s="98"/>
      <c r="AG52" s="98"/>
      <c r="AH52" s="98"/>
      <c r="AI52" s="98"/>
      <c r="AJ52" s="98"/>
      <c r="AK52" s="98"/>
      <c r="AL52" s="98"/>
      <c r="AM52" s="98"/>
      <c r="AN52" s="98"/>
      <c r="AO52" s="98"/>
      <c r="AP52" s="98"/>
      <c r="AQ52" s="98"/>
      <c r="AR52" s="98"/>
      <c r="AS52" s="98"/>
    </row>
    <row r="53" spans="1:58" x14ac:dyDescent="0.2">
      <c r="A53" s="98"/>
      <c r="B53" s="98"/>
      <c r="C53" s="98"/>
      <c r="D53" s="98"/>
      <c r="E53" s="98"/>
      <c r="F53" s="98"/>
      <c r="AE53" s="98"/>
      <c r="AF53" s="98"/>
      <c r="AG53" s="98"/>
      <c r="AH53" s="98"/>
      <c r="AI53" s="98"/>
      <c r="AJ53" s="98"/>
      <c r="AK53" s="98"/>
      <c r="AL53" s="98"/>
      <c r="AM53" s="98"/>
      <c r="AN53" s="98"/>
      <c r="AO53" s="98"/>
      <c r="AP53" s="98"/>
      <c r="AQ53" s="98"/>
      <c r="AR53" s="98"/>
      <c r="AS53" s="98"/>
    </row>
    <row r="54" spans="1:58" x14ac:dyDescent="0.2">
      <c r="A54" s="98"/>
      <c r="B54" s="98"/>
      <c r="C54" s="98"/>
      <c r="D54" s="98"/>
      <c r="E54" s="98"/>
      <c r="F54" s="98"/>
      <c r="AE54" s="98"/>
      <c r="AF54" s="98"/>
      <c r="AG54" s="98"/>
      <c r="AH54" s="98"/>
      <c r="AI54" s="98"/>
      <c r="AJ54" s="98"/>
      <c r="AK54" s="98"/>
      <c r="AL54" s="98"/>
      <c r="AM54" s="98"/>
      <c r="AN54" s="98"/>
      <c r="AO54" s="98"/>
      <c r="AP54" s="98"/>
      <c r="AQ54" s="98"/>
      <c r="AR54" s="98"/>
      <c r="AS54" s="98"/>
    </row>
    <row r="55" spans="1:58" x14ac:dyDescent="0.2">
      <c r="A55" s="98"/>
      <c r="B55" s="98"/>
      <c r="C55" s="98"/>
      <c r="D55" s="98"/>
      <c r="E55" s="98"/>
      <c r="F55" s="98"/>
      <c r="AE55" s="98"/>
      <c r="AF55" s="98"/>
      <c r="AG55" s="98"/>
      <c r="AH55" s="98"/>
      <c r="AI55" s="98"/>
      <c r="AJ55" s="98"/>
      <c r="AK55" s="98"/>
      <c r="AL55" s="98"/>
      <c r="AM55" s="98"/>
      <c r="AN55" s="98"/>
      <c r="AO55" s="98"/>
      <c r="AP55" s="98"/>
      <c r="AQ55" s="98"/>
      <c r="AR55" s="98"/>
      <c r="AS55" s="98"/>
    </row>
    <row r="56" spans="1:58" x14ac:dyDescent="0.2">
      <c r="A56" s="98"/>
      <c r="B56" s="98"/>
      <c r="C56" s="98"/>
      <c r="D56" s="98"/>
      <c r="E56" s="98"/>
      <c r="F56" s="98"/>
      <c r="AE56" s="98"/>
      <c r="AF56" s="98"/>
      <c r="AG56" s="98"/>
      <c r="AH56" s="98"/>
      <c r="AI56" s="98"/>
      <c r="AJ56" s="98"/>
      <c r="AK56" s="98"/>
      <c r="AL56" s="98"/>
      <c r="AM56" s="98"/>
      <c r="AN56" s="98"/>
      <c r="AO56" s="98"/>
      <c r="AP56" s="98"/>
      <c r="AQ56" s="98"/>
      <c r="AR56" s="98"/>
      <c r="AS56" s="98"/>
    </row>
    <row r="57" spans="1:58" x14ac:dyDescent="0.2">
      <c r="A57" s="98"/>
      <c r="B57" s="98"/>
      <c r="C57" s="98"/>
      <c r="D57" s="98"/>
      <c r="E57" s="98"/>
      <c r="F57" s="98"/>
      <c r="AE57" s="98"/>
      <c r="AF57" s="98"/>
      <c r="AG57" s="98"/>
      <c r="AH57" s="98"/>
      <c r="AI57" s="98"/>
      <c r="AJ57" s="98"/>
      <c r="AK57" s="98"/>
      <c r="AL57" s="98"/>
      <c r="AM57" s="98"/>
      <c r="AN57" s="98"/>
      <c r="AO57" s="98"/>
      <c r="AP57" s="98"/>
      <c r="AQ57" s="98"/>
      <c r="AR57" s="98"/>
      <c r="AS57" s="98"/>
    </row>
    <row r="58" spans="1:58" x14ac:dyDescent="0.2">
      <c r="A58" s="98"/>
      <c r="B58" s="98"/>
      <c r="C58" s="98"/>
      <c r="D58" s="98"/>
      <c r="E58" s="98"/>
      <c r="F58" s="98"/>
      <c r="AE58" s="98"/>
      <c r="AF58" s="98"/>
      <c r="AG58" s="98"/>
      <c r="AH58" s="98"/>
      <c r="AI58" s="98"/>
      <c r="AJ58" s="98"/>
      <c r="AK58" s="98"/>
      <c r="AL58" s="98"/>
      <c r="AM58" s="98"/>
      <c r="AN58" s="98"/>
      <c r="AO58" s="98"/>
      <c r="AP58" s="98"/>
      <c r="AQ58" s="98"/>
      <c r="AR58" s="98"/>
      <c r="AS58" s="98"/>
    </row>
    <row r="59" spans="1:58" x14ac:dyDescent="0.2">
      <c r="A59" s="98"/>
      <c r="B59" s="98"/>
      <c r="C59" s="98"/>
      <c r="D59" s="98"/>
      <c r="E59" s="98"/>
      <c r="F59" s="98"/>
      <c r="AE59" s="98"/>
      <c r="AF59" s="98"/>
      <c r="AG59" s="98"/>
      <c r="AH59" s="98"/>
      <c r="AI59" s="98"/>
      <c r="AJ59" s="98"/>
      <c r="AK59" s="98"/>
      <c r="AL59" s="98"/>
      <c r="AM59" s="98"/>
      <c r="AN59" s="98"/>
      <c r="AO59" s="98"/>
      <c r="AP59" s="98"/>
      <c r="AQ59" s="98"/>
      <c r="AR59" s="98"/>
      <c r="AS59" s="98"/>
    </row>
    <row r="60" spans="1:58" x14ac:dyDescent="0.2">
      <c r="A60" s="98"/>
      <c r="B60" s="98"/>
      <c r="C60" s="98"/>
      <c r="D60" s="98"/>
      <c r="E60" s="98"/>
      <c r="F60" s="98"/>
      <c r="AE60" s="98"/>
      <c r="AF60" s="98"/>
      <c r="AG60" s="98"/>
      <c r="AH60" s="98"/>
      <c r="AI60" s="98"/>
      <c r="AJ60" s="98"/>
      <c r="AK60" s="98"/>
      <c r="AL60" s="98"/>
      <c r="AM60" s="98"/>
      <c r="AN60" s="98"/>
      <c r="AO60" s="98"/>
      <c r="AP60" s="98"/>
      <c r="AQ60" s="98"/>
      <c r="AR60" s="98"/>
      <c r="AS60" s="98"/>
    </row>
    <row r="61" spans="1:58" x14ac:dyDescent="0.2">
      <c r="A61" s="98"/>
      <c r="B61" s="98"/>
      <c r="C61" s="98"/>
      <c r="D61" s="98"/>
      <c r="E61" s="98"/>
      <c r="F61" s="98"/>
      <c r="AE61" s="98"/>
      <c r="AF61" s="98"/>
      <c r="AG61" s="98"/>
      <c r="AH61" s="98"/>
      <c r="AI61" s="98"/>
      <c r="AJ61" s="98"/>
      <c r="AK61" s="98"/>
      <c r="AL61" s="98"/>
      <c r="AM61" s="98"/>
      <c r="AN61" s="98"/>
      <c r="AO61" s="98"/>
      <c r="AP61" s="98"/>
      <c r="AQ61" s="98"/>
      <c r="AR61" s="98"/>
      <c r="AS61" s="98"/>
    </row>
    <row r="62" spans="1:58" x14ac:dyDescent="0.2">
      <c r="A62" s="98"/>
      <c r="B62" s="98"/>
      <c r="C62" s="98"/>
      <c r="D62" s="98"/>
      <c r="E62" s="98"/>
      <c r="F62" s="98"/>
      <c r="AE62" s="98"/>
      <c r="AF62" s="98"/>
      <c r="AG62" s="98"/>
      <c r="AH62" s="98"/>
      <c r="AI62" s="98"/>
      <c r="AJ62" s="98"/>
      <c r="AK62" s="98"/>
      <c r="AL62" s="98"/>
      <c r="AM62" s="98"/>
      <c r="AN62" s="98"/>
      <c r="AO62" s="98"/>
      <c r="AP62" s="98"/>
      <c r="AQ62" s="98"/>
      <c r="AR62" s="98"/>
      <c r="AS62" s="98"/>
    </row>
    <row r="63" spans="1:58" x14ac:dyDescent="0.2">
      <c r="AE63" s="98"/>
      <c r="AF63" s="98"/>
      <c r="AG63" s="98"/>
      <c r="AH63" s="98"/>
      <c r="AI63" s="98"/>
      <c r="AJ63" s="98"/>
      <c r="AK63" s="98"/>
      <c r="AL63" s="98"/>
      <c r="AM63" s="98"/>
      <c r="AN63" s="98"/>
      <c r="AO63" s="98"/>
      <c r="AP63" s="98"/>
      <c r="AQ63" s="98"/>
      <c r="AR63" s="98"/>
      <c r="AS63" s="98"/>
    </row>
    <row r="64" spans="1:58" x14ac:dyDescent="0.2">
      <c r="AE64" s="98"/>
      <c r="AF64" s="98"/>
      <c r="AG64" s="98"/>
      <c r="AH64" s="98"/>
      <c r="AI64" s="98"/>
      <c r="AJ64" s="98"/>
      <c r="AK64" s="98"/>
      <c r="AL64" s="98"/>
      <c r="AM64" s="98"/>
      <c r="AN64" s="98"/>
      <c r="AO64" s="98"/>
      <c r="AP64" s="98"/>
      <c r="AQ64" s="98"/>
      <c r="AR64" s="98"/>
      <c r="AS64" s="98"/>
    </row>
    <row r="65" spans="31:45" x14ac:dyDescent="0.2">
      <c r="AE65" s="98"/>
      <c r="AF65" s="98"/>
      <c r="AG65" s="98"/>
      <c r="AH65" s="98"/>
      <c r="AI65" s="98"/>
      <c r="AJ65" s="98"/>
      <c r="AK65" s="98"/>
      <c r="AL65" s="98"/>
      <c r="AM65" s="98"/>
      <c r="AN65" s="98"/>
      <c r="AO65" s="98"/>
      <c r="AP65" s="98"/>
      <c r="AQ65" s="98"/>
      <c r="AR65" s="98"/>
      <c r="AS65" s="98"/>
    </row>
    <row r="66" spans="31:45" x14ac:dyDescent="0.2">
      <c r="AE66" s="98"/>
      <c r="AF66" s="98"/>
      <c r="AG66" s="98"/>
      <c r="AH66" s="98"/>
      <c r="AI66" s="98"/>
      <c r="AJ66" s="98"/>
      <c r="AK66" s="98"/>
      <c r="AL66" s="98"/>
      <c r="AM66" s="98"/>
      <c r="AN66" s="98"/>
      <c r="AO66" s="98"/>
      <c r="AP66" s="98"/>
      <c r="AQ66" s="98"/>
      <c r="AR66" s="98"/>
      <c r="AS66" s="98"/>
    </row>
    <row r="67" spans="31:45" x14ac:dyDescent="0.2">
      <c r="AE67" s="98"/>
      <c r="AF67" s="98"/>
      <c r="AG67" s="98"/>
      <c r="AH67" s="98"/>
      <c r="AI67" s="98"/>
      <c r="AJ67" s="98"/>
      <c r="AK67" s="98"/>
      <c r="AL67" s="98"/>
      <c r="AM67" s="98"/>
      <c r="AN67" s="98"/>
      <c r="AO67" s="98"/>
      <c r="AP67" s="98"/>
      <c r="AQ67" s="98"/>
      <c r="AR67" s="98"/>
      <c r="AS67" s="98"/>
    </row>
    <row r="68" spans="31:45" x14ac:dyDescent="0.2">
      <c r="AE68" s="98"/>
      <c r="AF68" s="98"/>
      <c r="AG68" s="98"/>
      <c r="AH68" s="98"/>
      <c r="AI68" s="98"/>
      <c r="AJ68" s="98"/>
      <c r="AK68" s="98"/>
      <c r="AL68" s="98"/>
      <c r="AM68" s="98"/>
      <c r="AN68" s="98"/>
      <c r="AO68" s="98"/>
      <c r="AP68" s="98"/>
      <c r="AQ68" s="98"/>
      <c r="AR68" s="98"/>
    </row>
  </sheetData>
  <sheetProtection algorithmName="SHA-512" hashValue="VH4bM1si3G58nj//qMQzkSkY3y8DSG7tU+qeEFYHDXZKv1g/f5uCi3N8MRGw625jQ2KFNaVVRuhNyA9/Nd2yng==" saltValue="ZfWB9eYHcyJSYbMomrFj/A==" spinCount="100000" sheet="1" objects="1" scenarios="1" selectLockedCells="1"/>
  <mergeCells count="15">
    <mergeCell ref="A29:F29"/>
    <mergeCell ref="A30:F30"/>
    <mergeCell ref="A23:F23"/>
    <mergeCell ref="B2:F2"/>
    <mergeCell ref="B1:F1"/>
    <mergeCell ref="C26:F26"/>
    <mergeCell ref="C27:F27"/>
    <mergeCell ref="B26:B28"/>
    <mergeCell ref="C28:F28"/>
    <mergeCell ref="C20:E20"/>
    <mergeCell ref="C21:E21"/>
    <mergeCell ref="A18:B18"/>
    <mergeCell ref="A19:B19"/>
    <mergeCell ref="A3:F3"/>
    <mergeCell ref="B4:F4"/>
  </mergeCells>
  <phoneticPr fontId="0" type="noConversion"/>
  <conditionalFormatting sqref="F20:F21">
    <cfRule type="expression" dxfId="71" priority="60" stopIfTrue="1">
      <formula>F20="yes"</formula>
    </cfRule>
  </conditionalFormatting>
  <conditionalFormatting sqref="F24">
    <cfRule type="cellIs" dxfId="70" priority="56" stopIfTrue="1" operator="between">
      <formula>5.25</formula>
      <formula>5.55</formula>
    </cfRule>
    <cfRule type="cellIs" dxfId="69" priority="57" stopIfTrue="1" operator="between">
      <formula>5.15</formula>
      <formula>5.75</formula>
    </cfRule>
    <cfRule type="cellIs" dxfId="68" priority="58" stopIfTrue="1" operator="between">
      <formula>1</formula>
      <formula>14</formula>
    </cfRule>
  </conditionalFormatting>
  <conditionalFormatting sqref="A6:A17">
    <cfRule type="expression" dxfId="67" priority="1" stopIfTrue="1">
      <formula>J6=2</formula>
    </cfRule>
    <cfRule type="expression" dxfId="66" priority="7">
      <formula>J6=5</formula>
    </cfRule>
    <cfRule type="expression" dxfId="65" priority="8">
      <formula>J6=4</formula>
    </cfRule>
    <cfRule type="expression" dxfId="64" priority="9">
      <formula>J6=3</formula>
    </cfRule>
  </conditionalFormatting>
  <conditionalFormatting sqref="B21">
    <cfRule type="expression" dxfId="63" priority="5" stopIfTrue="1">
      <formula>B21="existing water"</formula>
    </cfRule>
  </conditionalFormatting>
  <conditionalFormatting sqref="K24">
    <cfRule type="expression" dxfId="62" priority="4" stopIfTrue="1">
      <formula>"b24&gt;0.5"</formula>
    </cfRule>
  </conditionalFormatting>
  <conditionalFormatting sqref="B24">
    <cfRule type="expression" dxfId="61" priority="2">
      <formula>K24&gt;0.5</formula>
    </cfRule>
    <cfRule type="expression" dxfId="60" priority="3" stopIfTrue="1">
      <formula>K24=0</formula>
    </cfRule>
  </conditionalFormatting>
  <conditionalFormatting sqref="E6:E17">
    <cfRule type="expression" dxfId="59" priority="451" stopIfTrue="1">
      <formula>AND(J6=4,T6&lt;180)</formula>
    </cfRule>
    <cfRule type="expression" dxfId="58" priority="452" stopIfTrue="1">
      <formula>AND(J6&lt;&gt;4,T6&gt;180)</formula>
    </cfRule>
  </conditionalFormatting>
  <dataValidations count="5">
    <dataValidation type="decimal" allowBlank="1" showInputMessage="1" showErrorMessage="1" sqref="A26" xr:uid="{00000000-0002-0000-0300-000000000000}">
      <formula1>0.1</formula1>
      <formula2>2</formula2>
    </dataValidation>
    <dataValidation type="list" allowBlank="1" showInputMessage="1" showErrorMessage="1" sqref="F20:F21" xr:uid="{00000000-0002-0000-0300-000001000000}">
      <formula1>$O$21:$O$22</formula1>
    </dataValidation>
    <dataValidation type="list" allowBlank="1" showInputMessage="1" showErrorMessage="1" sqref="B20" xr:uid="{00000000-0002-0000-0300-000002000000}">
      <formula1>$Q$28:$Q$29</formula1>
    </dataValidation>
    <dataValidation type="list" allowBlank="1" showInputMessage="1" showErrorMessage="1" sqref="B21" xr:uid="{00000000-0002-0000-0300-000003000000}">
      <formula1>$N$28:$N$29</formula1>
    </dataValidation>
    <dataValidation type="list" allowBlank="1" showInputMessage="1" showErrorMessage="1" sqref="B6:B17" xr:uid="{00000000-0002-0000-0300-000004000000}">
      <formula1>$Q$1:$Q$5</formula1>
    </dataValidation>
  </dataValidations>
  <pageMargins left="0.7" right="0.7" top="0.75" bottom="0.75" header="0.3" footer="0.3"/>
  <pageSetup scale="92" orientation="landscape" r:id="rId1"/>
  <headerFooter>
    <oddFooter>&amp;LBru'n Water
V.5.4&amp;RAug 2018</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tabColor rgb="FFFF3300"/>
    <pageSetUpPr fitToPage="1"/>
  </sheetPr>
  <dimension ref="A1:CE158"/>
  <sheetViews>
    <sheetView showGridLines="0" tabSelected="1" topLeftCell="A12" zoomScale="115" zoomScaleNormal="115" workbookViewId="0">
      <selection activeCell="B21" sqref="B21"/>
    </sheetView>
  </sheetViews>
  <sheetFormatPr defaultColWidth="8.7109375" defaultRowHeight="11.25" x14ac:dyDescent="0.2"/>
  <cols>
    <col min="1" max="1" width="25.42578125" style="19" customWidth="1"/>
    <col min="2" max="2" width="12.42578125" style="19" customWidth="1"/>
    <col min="3" max="8" width="9.42578125" style="19" customWidth="1"/>
    <col min="9" max="14" width="8.5703125" style="19" customWidth="1"/>
    <col min="15" max="17" width="8.7109375" style="19"/>
    <col min="18" max="19" width="9.5703125" style="100" customWidth="1"/>
    <col min="20" max="54" width="0.140625" style="99" hidden="1" customWidth="1"/>
    <col min="55" max="58" width="9.42578125" style="99" customWidth="1"/>
    <col min="59" max="61" width="10.42578125" style="19" customWidth="1"/>
    <col min="62" max="64" width="9.7109375" style="19" customWidth="1"/>
    <col min="65" max="74" width="9.28515625" style="19" customWidth="1"/>
    <col min="75" max="16384" width="8.7109375" style="19"/>
  </cols>
  <sheetData>
    <row r="1" spans="1:83" ht="34.35" customHeight="1" x14ac:dyDescent="0.2">
      <c r="A1" s="498" t="s">
        <v>63</v>
      </c>
      <c r="B1" s="673"/>
      <c r="C1" s="133"/>
      <c r="D1" s="561" t="str">
        <f>'1. Water Report Input'!$C$1</f>
        <v>Michael Weisz</v>
      </c>
      <c r="E1" s="561"/>
      <c r="F1" s="561"/>
      <c r="G1" s="561"/>
      <c r="H1" s="561"/>
      <c r="I1" s="561"/>
      <c r="J1" s="561"/>
      <c r="K1" s="143"/>
      <c r="L1" s="143"/>
      <c r="M1" s="143"/>
      <c r="N1" s="143"/>
      <c r="Q1" s="100"/>
      <c r="BG1" s="99"/>
      <c r="BH1" s="99"/>
      <c r="BI1" s="99"/>
      <c r="BJ1" s="99"/>
      <c r="BK1" s="100"/>
      <c r="BL1" s="100"/>
      <c r="BM1" s="99"/>
      <c r="BN1" s="99"/>
      <c r="BO1" s="99"/>
      <c r="BP1" s="99"/>
      <c r="BQ1" s="99"/>
      <c r="BR1" s="99"/>
      <c r="BS1" s="99"/>
      <c r="BT1" s="99"/>
      <c r="BU1" s="99"/>
      <c r="BV1" s="99"/>
      <c r="BW1" s="99"/>
      <c r="BX1" s="99"/>
      <c r="BY1" s="99"/>
      <c r="BZ1" s="99"/>
      <c r="CA1" s="99"/>
      <c r="CB1" s="99"/>
      <c r="CC1" s="99"/>
      <c r="CD1" s="99"/>
      <c r="CE1" s="99"/>
    </row>
    <row r="2" spans="1:83" ht="23.25" x14ac:dyDescent="0.2">
      <c r="A2" s="287" t="s">
        <v>829</v>
      </c>
      <c r="B2" s="666" t="str">
        <f>'3. Grain Bill Input'!B2</f>
        <v>Janeipa</v>
      </c>
      <c r="C2" s="667"/>
      <c r="D2" s="667"/>
      <c r="E2" s="667"/>
      <c r="F2" s="667"/>
      <c r="G2" s="668"/>
      <c r="H2" s="668"/>
      <c r="I2" s="668"/>
      <c r="J2" s="669"/>
      <c r="K2" s="148"/>
      <c r="M2" s="149"/>
      <c r="N2" s="149"/>
      <c r="O2" s="149"/>
      <c r="P2" s="149"/>
      <c r="Q2" s="161"/>
      <c r="R2" s="161"/>
      <c r="S2" s="161"/>
      <c r="T2" s="451"/>
      <c r="BG2" s="99"/>
      <c r="BH2" s="99"/>
      <c r="BI2" s="99"/>
      <c r="BJ2" s="99"/>
      <c r="BK2" s="100"/>
      <c r="BL2" s="100"/>
      <c r="BM2" s="99"/>
      <c r="BN2" s="99"/>
      <c r="BO2" s="99"/>
      <c r="BP2" s="99"/>
      <c r="BQ2" s="99"/>
      <c r="BR2" s="99"/>
      <c r="BS2" s="99"/>
      <c r="BT2" s="99"/>
      <c r="BU2" s="99"/>
      <c r="BV2" s="99"/>
      <c r="BW2" s="99"/>
      <c r="BX2" s="99"/>
      <c r="BY2" s="99"/>
      <c r="BZ2" s="99"/>
      <c r="CA2" s="99"/>
      <c r="CB2" s="99"/>
      <c r="CC2" s="99"/>
      <c r="CD2" s="99"/>
      <c r="CE2" s="99"/>
    </row>
    <row r="3" spans="1:83" ht="23.25" x14ac:dyDescent="0.2">
      <c r="A3" s="293" t="s">
        <v>958</v>
      </c>
      <c r="B3" s="293"/>
      <c r="C3" s="293"/>
      <c r="D3" s="293"/>
      <c r="E3" s="293"/>
      <c r="F3" s="293"/>
      <c r="G3" s="292"/>
      <c r="H3" s="292"/>
      <c r="I3" s="292"/>
      <c r="J3" s="292"/>
      <c r="K3" s="294"/>
      <c r="L3" s="295"/>
      <c r="M3" s="294"/>
      <c r="N3" s="294"/>
      <c r="O3" s="149"/>
      <c r="P3" s="149"/>
      <c r="Q3" s="161"/>
      <c r="R3" s="161"/>
      <c r="S3" s="161"/>
      <c r="T3" s="451"/>
      <c r="BG3" s="99"/>
      <c r="BH3" s="99"/>
      <c r="BI3" s="99"/>
      <c r="BJ3" s="99"/>
      <c r="BK3" s="100"/>
      <c r="BL3" s="100"/>
      <c r="BM3" s="99"/>
      <c r="BN3" s="99"/>
      <c r="BO3" s="99"/>
      <c r="BP3" s="99"/>
      <c r="BQ3" s="99"/>
      <c r="BR3" s="99"/>
      <c r="BS3" s="99"/>
      <c r="BT3" s="99"/>
      <c r="BU3" s="99"/>
      <c r="BV3" s="99"/>
      <c r="BW3" s="99"/>
      <c r="BX3" s="99"/>
      <c r="BY3" s="99"/>
      <c r="BZ3" s="99"/>
      <c r="CA3" s="99"/>
      <c r="CB3" s="99"/>
      <c r="CC3" s="99"/>
      <c r="CD3" s="99"/>
      <c r="CE3" s="99"/>
    </row>
    <row r="4" spans="1:83" ht="24.75" customHeight="1" x14ac:dyDescent="0.2">
      <c r="A4" s="631" t="s">
        <v>268</v>
      </c>
      <c r="B4" s="631"/>
      <c r="C4" s="631"/>
      <c r="D4" s="631"/>
      <c r="E4" s="631"/>
      <c r="F4" s="632" t="s">
        <v>885</v>
      </c>
      <c r="G4" s="632"/>
      <c r="H4" s="632"/>
      <c r="I4" s="632"/>
      <c r="J4" s="632"/>
      <c r="K4" s="632"/>
      <c r="L4" s="632"/>
      <c r="M4" s="632"/>
      <c r="N4" s="632"/>
      <c r="Q4" s="100"/>
      <c r="V4" s="279" t="s">
        <v>444</v>
      </c>
      <c r="W4" s="279" t="s">
        <v>439</v>
      </c>
      <c r="X4" s="279" t="s">
        <v>440</v>
      </c>
      <c r="AG4" s="279" t="s">
        <v>444</v>
      </c>
      <c r="AH4" s="279" t="s">
        <v>439</v>
      </c>
      <c r="AI4" s="279" t="s">
        <v>440</v>
      </c>
      <c r="BG4" s="99"/>
      <c r="BH4" s="99"/>
      <c r="BI4" s="99"/>
      <c r="BJ4" s="99"/>
      <c r="BK4" s="100"/>
      <c r="BL4" s="100"/>
      <c r="BM4" s="99"/>
      <c r="BN4" s="99"/>
      <c r="BO4" s="99"/>
      <c r="BP4" s="99"/>
      <c r="BQ4" s="99"/>
      <c r="BR4" s="99"/>
      <c r="BS4" s="99"/>
      <c r="BT4" s="99"/>
      <c r="BU4" s="99"/>
      <c r="BV4" s="99"/>
      <c r="BW4" s="99"/>
      <c r="BX4" s="99"/>
      <c r="BY4" s="99"/>
      <c r="BZ4" s="99"/>
      <c r="CA4" s="99"/>
      <c r="CB4" s="99"/>
      <c r="CC4" s="99"/>
      <c r="CD4" s="99"/>
      <c r="CE4" s="99"/>
    </row>
    <row r="5" spans="1:83" ht="22.35" customHeight="1" x14ac:dyDescent="0.25">
      <c r="A5" s="651" t="s">
        <v>184</v>
      </c>
      <c r="B5" s="652"/>
      <c r="C5" s="27" t="s">
        <v>119</v>
      </c>
      <c r="D5" s="27" t="s">
        <v>118</v>
      </c>
      <c r="E5" s="27" t="s">
        <v>120</v>
      </c>
      <c r="F5" s="27" t="s">
        <v>121</v>
      </c>
      <c r="G5" s="27" t="s">
        <v>122</v>
      </c>
      <c r="H5" s="27" t="s">
        <v>123</v>
      </c>
      <c r="I5" s="589" t="s">
        <v>205</v>
      </c>
      <c r="J5" s="590"/>
      <c r="K5" s="591"/>
      <c r="L5" s="589" t="s">
        <v>838</v>
      </c>
      <c r="M5" s="590"/>
      <c r="N5" s="591"/>
      <c r="Q5" s="100"/>
      <c r="T5" s="99">
        <v>1</v>
      </c>
      <c r="U5" s="394" t="s">
        <v>200</v>
      </c>
      <c r="V5" s="395">
        <f>IF(AF12=9,(N(B31)/V15)*(-182.85/0.8254),-(((N(B31)/V15)*(D31/100)*(((VLOOKUP(AF12,acidtable,7,FALSE))*V50*61)/(VLOOKUP(AF12,acidtable,6,FALSE))))))</f>
        <v>-59.738417305657379</v>
      </c>
      <c r="W5" s="395">
        <f>IF(AF12=9,(B31/V15)*(88.57),-V5*96/122)</f>
        <v>47.007279191336956</v>
      </c>
      <c r="X5" s="395">
        <f>IF(AF12=9,(B31/V15)*(64),-V5*35.5/61)</f>
        <v>34.765800235259618</v>
      </c>
      <c r="AE5" s="99">
        <v>1</v>
      </c>
      <c r="AF5" s="394" t="s">
        <v>200</v>
      </c>
      <c r="AG5" s="395">
        <f>IF(AG12=9,(N(B33)/V15)*(-182.85/0.8254),-(((N(B33)/V15)*(D33/100)*(((VLOOKUP(AG12,acidtable2,7,FALSE))*AG50*61)/(VLOOKUP(AG12,acidtable2,6,FALSE))))))</f>
        <v>0</v>
      </c>
      <c r="AH5" s="395">
        <f>IF(AG12=9,(B33/V15)*(88.57),-AG5*96/122)</f>
        <v>0</v>
      </c>
      <c r="AI5" s="395">
        <f>IF(AG12=9,(B33/V15)*(64),-AG5*35.5/61)</f>
        <v>0</v>
      </c>
      <c r="BG5" s="99"/>
      <c r="BH5" s="99"/>
      <c r="BI5" s="99"/>
      <c r="BJ5" s="99"/>
      <c r="BK5" s="100"/>
      <c r="BL5" s="100"/>
      <c r="BM5" s="99"/>
      <c r="BN5" s="99"/>
      <c r="BO5" s="99"/>
      <c r="BP5" s="99"/>
      <c r="BQ5" s="99"/>
      <c r="BR5" s="99"/>
      <c r="BS5" s="99"/>
      <c r="BT5" s="99"/>
      <c r="BU5" s="99"/>
      <c r="BV5" s="99"/>
      <c r="BW5" s="99"/>
      <c r="BX5" s="99"/>
      <c r="BY5" s="99"/>
      <c r="BZ5" s="99"/>
      <c r="CA5" s="99"/>
      <c r="CB5" s="99"/>
      <c r="CC5" s="99"/>
      <c r="CD5" s="99"/>
      <c r="CE5" s="99"/>
    </row>
    <row r="6" spans="1:83" ht="17.100000000000001" customHeight="1" x14ac:dyDescent="0.2">
      <c r="A6" s="600" t="s">
        <v>981</v>
      </c>
      <c r="B6" s="601"/>
      <c r="C6" s="297">
        <f>VLOOKUP($AF$11,profiles,3,FALSE)</f>
        <v>105</v>
      </c>
      <c r="D6" s="297">
        <f>VLOOKUP($AF$11,profiles,4,FALSE)</f>
        <v>0</v>
      </c>
      <c r="E6" s="297">
        <f>VLOOKUP($AF$11,profiles,5,FALSE)</f>
        <v>12</v>
      </c>
      <c r="F6" s="297">
        <f>VLOOKUP($AF$11,profiles,6,FALSE)</f>
        <v>75</v>
      </c>
      <c r="G6" s="297">
        <f>VLOOKUP($AF$11,profiles,7,FALSE)</f>
        <v>150</v>
      </c>
      <c r="H6" s="297">
        <f>VLOOKUP($AF$11,profiles,8,FALSE)</f>
        <v>0</v>
      </c>
      <c r="I6" s="635" t="str">
        <f>$AD$20</f>
        <v>Yellow: under 6 SRM</v>
      </c>
      <c r="J6" s="636"/>
      <c r="K6" s="636"/>
      <c r="L6" s="641" t="s">
        <v>926</v>
      </c>
      <c r="M6" s="642"/>
      <c r="N6" s="643"/>
      <c r="Q6" s="100"/>
      <c r="T6" s="99">
        <v>2</v>
      </c>
      <c r="U6" s="394" t="s">
        <v>112</v>
      </c>
      <c r="V6" s="395">
        <f>IF(AF12=9,(N(B31)/V15)*(-182.85/0.8254),-(N(B31)/V15)*N(D31)*61)</f>
        <v>-342.47027741083218</v>
      </c>
      <c r="W6" s="395">
        <f>IF(AF12=9,(N(B31)/V15)*(88.57),-V6*96/122)</f>
        <v>269.48480845442532</v>
      </c>
      <c r="X6" s="395">
        <f>IF(AF12=9,(N(B31)/V15)*(64),-V6*35.5/61)</f>
        <v>199.30647291941872</v>
      </c>
      <c r="AE6" s="99">
        <v>2</v>
      </c>
      <c r="AF6" s="394" t="s">
        <v>112</v>
      </c>
      <c r="AG6" s="395">
        <f>IF(AG12=9,(N(B33)/V15)*(-182.85/0.8254),-(N(B33)/V15)*N(D33)*61)</f>
        <v>0</v>
      </c>
      <c r="AH6" s="395">
        <f>IF(AG12=9,(N(B33)/V15)*(88.57),-AG6*96/122)</f>
        <v>0</v>
      </c>
      <c r="AI6" s="395">
        <f>IF(AG12=9,(N(B33)/V15)*(64),-AG6*35.5/61)</f>
        <v>0</v>
      </c>
      <c r="BG6" s="99"/>
      <c r="BH6" s="99"/>
      <c r="BI6" s="99"/>
      <c r="BJ6" s="99"/>
      <c r="BK6" s="100"/>
      <c r="BL6" s="100"/>
      <c r="BM6" s="99"/>
      <c r="BN6" s="99"/>
      <c r="BO6" s="99"/>
      <c r="BP6" s="99"/>
      <c r="BQ6" s="99"/>
      <c r="BR6" s="99"/>
      <c r="BS6" s="99"/>
      <c r="BT6" s="99"/>
      <c r="BU6" s="99"/>
      <c r="BV6" s="99"/>
      <c r="BW6" s="99"/>
      <c r="BX6" s="99"/>
      <c r="BY6" s="99"/>
      <c r="BZ6" s="99"/>
      <c r="CA6" s="99"/>
      <c r="CB6" s="99"/>
      <c r="CC6" s="99"/>
      <c r="CD6" s="99"/>
      <c r="CE6" s="99"/>
    </row>
    <row r="7" spans="1:83" ht="17.100000000000001" customHeight="1" x14ac:dyDescent="0.2">
      <c r="A7" s="628" t="s">
        <v>199</v>
      </c>
      <c r="B7" s="629"/>
      <c r="C7" s="298">
        <f>'1. Water Report Input'!$B$6</f>
        <v>0</v>
      </c>
      <c r="D7" s="298">
        <f>'1. Water Report Input'!$B$7</f>
        <v>0</v>
      </c>
      <c r="E7" s="298">
        <f>'1. Water Report Input'!$B$8</f>
        <v>0</v>
      </c>
      <c r="F7" s="298">
        <f>'1. Water Report Input'!$C$8</f>
        <v>0</v>
      </c>
      <c r="G7" s="298">
        <f>'1. Water Report Input'!$C$9</f>
        <v>0</v>
      </c>
      <c r="H7" s="298">
        <f>'1. Water Report Input'!$C$22*61/50</f>
        <v>0</v>
      </c>
      <c r="I7" s="637" t="str">
        <f>$AE$20</f>
        <v>Amber: 7 to 17 SRM</v>
      </c>
      <c r="J7" s="638"/>
      <c r="K7" s="638"/>
      <c r="L7" s="644"/>
      <c r="M7" s="645"/>
      <c r="N7" s="646"/>
      <c r="Q7" s="100"/>
      <c r="T7" s="99">
        <v>3</v>
      </c>
      <c r="U7" s="394" t="s">
        <v>201</v>
      </c>
      <c r="V7" s="395">
        <f>IF(AF12=9,(N(B31)/V15)*(-182.85/0.8254),-(N(B31)/V15)*N(D31)*V50*61)</f>
        <v>-347.63378954775641</v>
      </c>
      <c r="W7" s="395">
        <f>IF(AF12=9,(N(B31)/V15)*(88.57),-V7*96/122)</f>
        <v>273.54789997200504</v>
      </c>
      <c r="X7" s="395">
        <f>IF(AF12=9,(N(B31)/V15)*(64),-V7*35.5/61)</f>
        <v>202.31146768762872</v>
      </c>
      <c r="AB7" s="99" t="str">
        <f>IF(AND($AF$12&gt;=6,$AF$12&lt;=8),"(gram/gal)","(mL/gal)")</f>
        <v>(mL/gal)</v>
      </c>
      <c r="AE7" s="99">
        <v>3</v>
      </c>
      <c r="AF7" s="394" t="s">
        <v>201</v>
      </c>
      <c r="AG7" s="395">
        <f>IF(AG12=9,(N(B33)/V15)*(-182.85/0.8254),-(N(B33)/V15)*N(D33)*AG50*61)</f>
        <v>0</v>
      </c>
      <c r="AH7" s="395">
        <f>IF(AG12=9,(N(B33)/V15)*(88.57),-AG7*96/122)</f>
        <v>0</v>
      </c>
      <c r="AI7" s="395">
        <f>IF(AG12=9,(N(B33)/V15)*(64),-AG7*35.5/61)</f>
        <v>0</v>
      </c>
      <c r="AQ7" s="99" t="str">
        <f>IF(AND($AG$12&gt;=6,$AG$12&lt;=8),"(gram/gal)","(mL/gal)")</f>
        <v>(mL/gal)</v>
      </c>
      <c r="BG7" s="99"/>
      <c r="BH7" s="99"/>
      <c r="BI7" s="99"/>
      <c r="BJ7" s="99"/>
      <c r="BK7" s="100"/>
      <c r="BL7" s="100"/>
      <c r="BM7" s="99"/>
      <c r="BN7" s="99"/>
      <c r="BO7" s="99"/>
      <c r="BP7" s="99"/>
      <c r="BQ7" s="99"/>
      <c r="BR7" s="99"/>
      <c r="BS7" s="99"/>
      <c r="BT7" s="99"/>
      <c r="BU7" s="99"/>
      <c r="BV7" s="99"/>
      <c r="BW7" s="99"/>
      <c r="BX7" s="99"/>
      <c r="BY7" s="99"/>
      <c r="BZ7" s="99"/>
      <c r="CA7" s="99"/>
      <c r="CB7" s="99"/>
      <c r="CC7" s="99"/>
      <c r="CD7" s="99"/>
      <c r="CE7" s="99"/>
    </row>
    <row r="8" spans="1:83" ht="17.100000000000001" customHeight="1" x14ac:dyDescent="0.2">
      <c r="A8" s="628" t="s">
        <v>197</v>
      </c>
      <c r="B8" s="629"/>
      <c r="C8" s="613"/>
      <c r="D8" s="614"/>
      <c r="E8" s="614"/>
      <c r="F8" s="614"/>
      <c r="G8" s="614"/>
      <c r="H8" s="615"/>
      <c r="I8" s="639" t="str">
        <f>$AF$20</f>
        <v>Brown: 18 to 30 SRM</v>
      </c>
      <c r="J8" s="640"/>
      <c r="K8" s="640"/>
      <c r="L8" s="644"/>
      <c r="M8" s="645"/>
      <c r="N8" s="646"/>
      <c r="Q8" s="100"/>
      <c r="T8" s="99">
        <v>4</v>
      </c>
      <c r="U8" s="393" t="s">
        <v>353</v>
      </c>
      <c r="V8" s="395">
        <f>IF(AF12=9,(N(B31)/V15)*(-182.85/0.8254),-((N(B31)*1000/V15)*61*V50)/Y36)</f>
        <v>-41.732747844868719</v>
      </c>
      <c r="W8" s="99">
        <f>IF(AF12=9,(N(B31)/V15)*(88.57),0)</f>
        <v>0</v>
      </c>
      <c r="X8" s="99">
        <f>IF(AF12=9,(N(B31)/V15)*(64),0)</f>
        <v>0</v>
      </c>
      <c r="AB8" s="99" t="str">
        <f>IF(AND($AF$12&gt;=6,$AF$12&lt;=8),"(gram/L)","(mL/L)")</f>
        <v>(mL/L)</v>
      </c>
      <c r="AE8" s="99">
        <v>4</v>
      </c>
      <c r="AF8" s="393" t="s">
        <v>353</v>
      </c>
      <c r="AG8" s="395">
        <f>IF(AG12=9,(N(B33)/V15)*(-182.85/0.8254),-((N(B33)*1000/V15)*61*AG50)/AS35)</f>
        <v>0</v>
      </c>
      <c r="AH8" s="99">
        <f>IF(AG12=9,(N(B33)/V15)*(88.57),0)</f>
        <v>0</v>
      </c>
      <c r="AI8" s="99">
        <f>IF(AG12=9,(N(B33)/V15)*(64),0)</f>
        <v>0</v>
      </c>
      <c r="AQ8" s="99" t="str">
        <f>IF(AND($AG$12&gt;=6,$AG$12&lt;=8),"(gram/L)","(mL/L)")</f>
        <v>(mL/L)</v>
      </c>
      <c r="BG8" s="99"/>
      <c r="BH8" s="99"/>
      <c r="BI8" s="99"/>
      <c r="BJ8" s="99"/>
      <c r="BK8" s="100"/>
      <c r="BL8" s="100"/>
      <c r="BM8" s="99"/>
      <c r="BN8" s="99"/>
      <c r="BO8" s="99"/>
      <c r="BP8" s="99"/>
      <c r="BQ8" s="99"/>
      <c r="BR8" s="99"/>
      <c r="BS8" s="99"/>
      <c r="BT8" s="99"/>
      <c r="BU8" s="99"/>
      <c r="BV8" s="99"/>
      <c r="BW8" s="99"/>
      <c r="BX8" s="99"/>
      <c r="BY8" s="99"/>
      <c r="BZ8" s="99"/>
      <c r="CA8" s="99"/>
      <c r="CB8" s="99"/>
      <c r="CC8" s="99"/>
      <c r="CD8" s="99"/>
      <c r="CE8" s="99"/>
    </row>
    <row r="9" spans="1:83" ht="17.100000000000001" customHeight="1" x14ac:dyDescent="0.2">
      <c r="A9" s="600" t="s">
        <v>155</v>
      </c>
      <c r="B9" s="601"/>
      <c r="C9" s="299">
        <f>VLOOKUP($AG$11,dilution,3,FALSE)</f>
        <v>1</v>
      </c>
      <c r="D9" s="299">
        <f>VLOOKUP($AG$11,dilution,4,FALSE)</f>
        <v>0</v>
      </c>
      <c r="E9" s="299">
        <f>VLOOKUP($AG$11,dilution,5,FALSE)</f>
        <v>8</v>
      </c>
      <c r="F9" s="299">
        <f>VLOOKUP($AG$11,dilution,6,FALSE)</f>
        <v>1</v>
      </c>
      <c r="G9" s="299">
        <f>VLOOKUP($AG$11,dilution,7,FALSE)</f>
        <v>4</v>
      </c>
      <c r="H9" s="299">
        <f>VLOOKUP($AG$11,dilution,8,FALSE)</f>
        <v>16</v>
      </c>
      <c r="I9" s="677" t="str">
        <f>$AG$20</f>
        <v>Black: over 31 SRM</v>
      </c>
      <c r="J9" s="678"/>
      <c r="K9" s="678"/>
      <c r="L9" s="644"/>
      <c r="M9" s="645"/>
      <c r="N9" s="646"/>
      <c r="Q9" s="100"/>
      <c r="U9" s="266" t="str">
        <f>VLOOKUP($AF$13,strengthtable,2,FALSE)</f>
        <v>%</v>
      </c>
      <c r="V9" s="264">
        <f>((H7*(50/61)*(1+(2*10^-2.33)))-(($C$7*0.7143)+($D$7*0.5879)))</f>
        <v>0</v>
      </c>
      <c r="AB9" s="99" t="str">
        <f>IF(AND($AF$12&gt;=6,$AF$12&lt;=8),"(gram/BBL)","(mL/BBL)")</f>
        <v>(mL/BBL)</v>
      </c>
      <c r="AF9" s="266" t="str">
        <f>VLOOKUP($AG$13,strengthtable2,2,FALSE)</f>
        <v>%</v>
      </c>
      <c r="AQ9" s="99" t="str">
        <f>IF(AND($AG$12&gt;=6,$AG$12&lt;=8),"(gram/BBL)","(mL/BBL)")</f>
        <v>(mL/BBL)</v>
      </c>
      <c r="BG9" s="99"/>
      <c r="BH9" s="99"/>
      <c r="BI9" s="99"/>
      <c r="BJ9" s="99"/>
      <c r="BK9" s="100"/>
      <c r="BL9" s="100"/>
      <c r="BM9" s="99"/>
      <c r="BN9" s="99"/>
      <c r="BO9" s="99"/>
      <c r="BP9" s="99"/>
      <c r="BQ9" s="99"/>
      <c r="BR9" s="99"/>
      <c r="BS9" s="99"/>
      <c r="BT9" s="99"/>
      <c r="BU9" s="99"/>
      <c r="BV9" s="99"/>
      <c r="BW9" s="99"/>
      <c r="BX9" s="99"/>
      <c r="BY9" s="99"/>
      <c r="BZ9" s="99"/>
      <c r="CA9" s="99"/>
      <c r="CB9" s="99"/>
      <c r="CC9" s="99"/>
      <c r="CD9" s="99"/>
      <c r="CE9" s="99"/>
    </row>
    <row r="10" spans="1:83" ht="17.100000000000001" customHeight="1" x14ac:dyDescent="0.2">
      <c r="A10" s="250" t="s">
        <v>675</v>
      </c>
      <c r="B10" s="284">
        <v>100</v>
      </c>
      <c r="C10" s="5">
        <f>(N(B10)/100)*W15</f>
        <v>128</v>
      </c>
      <c r="D10" s="135" t="str">
        <f>X15</f>
        <v>oz/gal</v>
      </c>
      <c r="E10" s="5">
        <f>(N(B10)/100)*Y15</f>
        <v>8</v>
      </c>
      <c r="F10" s="135" t="str">
        <f>Z15</f>
        <v>pt/gal</v>
      </c>
      <c r="G10" s="49" t="s">
        <v>228</v>
      </c>
      <c r="H10" s="20"/>
      <c r="I10" s="13"/>
      <c r="J10" s="13"/>
      <c r="K10" s="12"/>
      <c r="L10" s="644"/>
      <c r="M10" s="645"/>
      <c r="N10" s="646"/>
      <c r="O10" s="617"/>
      <c r="P10" s="617"/>
      <c r="Q10" s="100"/>
      <c r="AB10" s="99" t="str">
        <f>IF(AND($AF$12&gt;=6,$AF$12&lt;=8),"(gram/HL)","(mL/HL)")</f>
        <v>(mL/HL)</v>
      </c>
      <c r="AQ10" s="99" t="str">
        <f>IF(AND($AG$12&gt;=6,$AG$12&lt;=8),"(gram/HL)","(mL/HL)")</f>
        <v>(mL/HL)</v>
      </c>
      <c r="BG10" s="99"/>
      <c r="BH10" s="99"/>
      <c r="BI10" s="99"/>
      <c r="BJ10" s="99"/>
      <c r="BK10" s="100"/>
      <c r="BL10" s="100"/>
      <c r="BM10" s="99"/>
      <c r="BN10" s="99"/>
      <c r="BO10" s="99"/>
      <c r="BP10" s="99"/>
      <c r="BQ10" s="99"/>
      <c r="BR10" s="99"/>
      <c r="BS10" s="99"/>
      <c r="BT10" s="99"/>
      <c r="BU10" s="99"/>
      <c r="BV10" s="99"/>
      <c r="BW10" s="99"/>
      <c r="BX10" s="99"/>
      <c r="BY10" s="99"/>
      <c r="BZ10" s="99"/>
      <c r="CA10" s="99"/>
      <c r="CB10" s="99"/>
      <c r="CC10" s="99"/>
      <c r="CD10" s="99"/>
      <c r="CE10" s="99"/>
    </row>
    <row r="11" spans="1:83" ht="17.100000000000001" customHeight="1" x14ac:dyDescent="0.2">
      <c r="A11" s="628" t="s">
        <v>198</v>
      </c>
      <c r="B11" s="629"/>
      <c r="C11" s="5">
        <f t="shared" ref="C11:H11" si="0">(C9*(N($B$10)/100)+(C7*(1-(N($B$10)/100))))</f>
        <v>1</v>
      </c>
      <c r="D11" s="5">
        <f t="shared" si="0"/>
        <v>0</v>
      </c>
      <c r="E11" s="5">
        <f t="shared" si="0"/>
        <v>8</v>
      </c>
      <c r="F11" s="5">
        <f t="shared" si="0"/>
        <v>1</v>
      </c>
      <c r="G11" s="5">
        <f t="shared" si="0"/>
        <v>4</v>
      </c>
      <c r="H11" s="5">
        <f t="shared" si="0"/>
        <v>16</v>
      </c>
      <c r="I11" s="195"/>
      <c r="J11" s="13"/>
      <c r="K11" s="12"/>
      <c r="L11" s="644"/>
      <c r="M11" s="645"/>
      <c r="N11" s="646"/>
      <c r="O11" s="617"/>
      <c r="P11" s="617"/>
      <c r="Q11" s="100"/>
      <c r="T11" s="99">
        <v>1</v>
      </c>
      <c r="U11" s="99" t="s">
        <v>392</v>
      </c>
      <c r="V11" s="99">
        <v>3.7850000000000001</v>
      </c>
      <c r="W11" s="99">
        <v>128</v>
      </c>
      <c r="X11" s="99" t="s">
        <v>210</v>
      </c>
      <c r="Y11" s="99">
        <v>8</v>
      </c>
      <c r="Z11" s="99" t="s">
        <v>211</v>
      </c>
      <c r="AA11" s="99" t="s">
        <v>401</v>
      </c>
      <c r="AB11" s="99" t="str">
        <f>AB7</f>
        <v>(mL/gal)</v>
      </c>
      <c r="AC11" s="99" t="s">
        <v>19</v>
      </c>
      <c r="AF11" s="99">
        <f>INDEX($A$44:$A$118, MATCH($A$6,$B$44:$B$118,0))</f>
        <v>67</v>
      </c>
      <c r="AG11" s="99">
        <f>INDEX($A$123:$A$126, MATCH($A$9,$B$123:$B$126,0))</f>
        <v>2</v>
      </c>
      <c r="AI11" s="99">
        <v>1</v>
      </c>
      <c r="AJ11" s="99" t="s">
        <v>392</v>
      </c>
      <c r="AK11" s="99">
        <v>3.7850000000000001</v>
      </c>
      <c r="AL11" s="99">
        <v>128</v>
      </c>
      <c r="AM11" s="99" t="s">
        <v>210</v>
      </c>
      <c r="AN11" s="99">
        <v>8</v>
      </c>
      <c r="AO11" s="99" t="s">
        <v>211</v>
      </c>
      <c r="AP11" s="99" t="s">
        <v>401</v>
      </c>
      <c r="AQ11" s="99" t="str">
        <f>AQ7</f>
        <v>(mL/gal)</v>
      </c>
      <c r="AR11" s="99" t="s">
        <v>19</v>
      </c>
      <c r="BG11" s="99"/>
      <c r="BH11" s="99"/>
      <c r="BI11" s="99"/>
      <c r="BJ11" s="99"/>
      <c r="BK11" s="100"/>
      <c r="BL11" s="100"/>
      <c r="BM11" s="99"/>
      <c r="BN11" s="99"/>
      <c r="BO11" s="99"/>
      <c r="BP11" s="99"/>
      <c r="BQ11" s="99"/>
      <c r="BR11" s="99"/>
      <c r="BS11" s="99"/>
      <c r="BT11" s="99"/>
      <c r="BU11" s="99"/>
      <c r="BV11" s="99"/>
      <c r="BW11" s="99"/>
      <c r="BX11" s="99"/>
      <c r="BY11" s="99"/>
      <c r="BZ11" s="99"/>
      <c r="CA11" s="99"/>
      <c r="CB11" s="99"/>
      <c r="CC11" s="99"/>
      <c r="CD11" s="99"/>
      <c r="CE11" s="99"/>
    </row>
    <row r="12" spans="1:83" ht="17.100000000000001" customHeight="1" x14ac:dyDescent="0.2">
      <c r="A12" s="623" t="s">
        <v>535</v>
      </c>
      <c r="B12" s="627"/>
      <c r="C12" s="300">
        <f t="shared" ref="C12:H12" si="1">C6-C11</f>
        <v>104</v>
      </c>
      <c r="D12" s="300">
        <f t="shared" si="1"/>
        <v>0</v>
      </c>
      <c r="E12" s="300">
        <f t="shared" si="1"/>
        <v>4</v>
      </c>
      <c r="F12" s="300">
        <f t="shared" si="1"/>
        <v>74</v>
      </c>
      <c r="G12" s="300">
        <f t="shared" si="1"/>
        <v>146</v>
      </c>
      <c r="H12" s="300">
        <f t="shared" si="1"/>
        <v>-16</v>
      </c>
      <c r="I12" s="195"/>
      <c r="J12" s="13"/>
      <c r="K12" s="12"/>
      <c r="L12" s="647"/>
      <c r="M12" s="648"/>
      <c r="N12" s="649"/>
      <c r="O12" s="655"/>
      <c r="P12" s="618"/>
      <c r="Q12" s="100"/>
      <c r="T12" s="99">
        <v>2</v>
      </c>
      <c r="U12" s="99" t="s">
        <v>271</v>
      </c>
      <c r="V12" s="99">
        <v>1</v>
      </c>
      <c r="W12" s="99">
        <v>1000</v>
      </c>
      <c r="X12" s="99" t="s">
        <v>395</v>
      </c>
      <c r="Y12" s="99">
        <v>100</v>
      </c>
      <c r="Z12" s="99" t="s">
        <v>396</v>
      </c>
      <c r="AA12" s="99" t="s">
        <v>400</v>
      </c>
      <c r="AB12" s="99" t="str">
        <f>AB8</f>
        <v>(mL/L)</v>
      </c>
      <c r="AC12" s="99" t="s">
        <v>404</v>
      </c>
      <c r="AF12" s="99">
        <f>INDEX($T$27:$T$35, MATCH($A$31,$U$27:$U$35,0))</f>
        <v>4</v>
      </c>
      <c r="AG12" s="99">
        <f>INDEX($AN$26:$AN$34, MATCH($A$33,$AO$26:$AO$34,0))</f>
        <v>4</v>
      </c>
      <c r="AI12" s="99">
        <v>2</v>
      </c>
      <c r="AJ12" s="99" t="s">
        <v>271</v>
      </c>
      <c r="AK12" s="99">
        <v>1</v>
      </c>
      <c r="AL12" s="99">
        <v>1000</v>
      </c>
      <c r="AM12" s="99" t="s">
        <v>395</v>
      </c>
      <c r="AN12" s="99">
        <v>100</v>
      </c>
      <c r="AO12" s="99" t="s">
        <v>396</v>
      </c>
      <c r="AP12" s="99" t="s">
        <v>400</v>
      </c>
      <c r="AQ12" s="99" t="str">
        <f>AQ8</f>
        <v>(mL/L)</v>
      </c>
      <c r="AR12" s="99" t="s">
        <v>404</v>
      </c>
      <c r="BG12" s="99"/>
      <c r="BH12" s="99"/>
      <c r="BI12" s="99"/>
      <c r="BJ12" s="99"/>
      <c r="BK12" s="100"/>
      <c r="BL12" s="100"/>
      <c r="BM12" s="99"/>
      <c r="BN12" s="99"/>
      <c r="BO12" s="99"/>
      <c r="BP12" s="99"/>
      <c r="BQ12" s="99"/>
      <c r="BR12" s="99"/>
      <c r="BS12" s="99"/>
      <c r="BT12" s="99"/>
      <c r="BU12" s="99"/>
      <c r="BV12" s="99"/>
      <c r="BW12" s="99"/>
      <c r="BX12" s="99"/>
      <c r="BY12" s="99"/>
      <c r="BZ12" s="99"/>
      <c r="CA12" s="99"/>
      <c r="CB12" s="99"/>
      <c r="CC12" s="99"/>
      <c r="CD12" s="99"/>
      <c r="CE12" s="99"/>
    </row>
    <row r="13" spans="1:83" ht="17.100000000000001" customHeight="1" x14ac:dyDescent="0.2">
      <c r="A13" s="623" t="s">
        <v>536</v>
      </c>
      <c r="B13" s="623">
        <v>2</v>
      </c>
      <c r="C13" s="300">
        <f>AB42</f>
        <v>106.24183486238532</v>
      </c>
      <c r="D13" s="300">
        <f>AB43</f>
        <v>4.0983073394495415</v>
      </c>
      <c r="E13" s="300">
        <f>AB44</f>
        <v>0</v>
      </c>
      <c r="F13" s="300">
        <f>AB45</f>
        <v>76.555394495412841</v>
      </c>
      <c r="G13" s="300">
        <f>AB46</f>
        <v>143.42907339449542</v>
      </c>
      <c r="H13" s="300">
        <f ca="1">AB47</f>
        <v>-59.738417305657379</v>
      </c>
      <c r="I13" s="195"/>
      <c r="J13" s="13"/>
      <c r="K13" s="12"/>
      <c r="N13" s="661" t="s">
        <v>540</v>
      </c>
      <c r="O13" s="655"/>
      <c r="P13" s="618"/>
      <c r="Q13" s="100"/>
      <c r="T13" s="99">
        <v>3</v>
      </c>
      <c r="U13" s="99" t="s">
        <v>393</v>
      </c>
      <c r="V13" s="99">
        <v>117.33499999999999</v>
      </c>
      <c r="W13" s="99">
        <v>31</v>
      </c>
      <c r="X13" s="99" t="s">
        <v>397</v>
      </c>
      <c r="Y13" s="99">
        <v>1</v>
      </c>
      <c r="Z13" s="99" t="s">
        <v>398</v>
      </c>
      <c r="AA13" s="99" t="s">
        <v>402</v>
      </c>
      <c r="AB13" s="99" t="str">
        <f>AB9</f>
        <v>(mL/BBL)</v>
      </c>
      <c r="AC13" s="99" t="s">
        <v>405</v>
      </c>
      <c r="AF13" s="99">
        <f>INDEX($T$5:$T$8, MATCH($E$31,$U$5:$U$8,0))</f>
        <v>1</v>
      </c>
      <c r="AG13" s="99">
        <f>INDEX($AE$5:$AE$8, MATCH($E$33,$AF$5:$AF$8,0))</f>
        <v>1</v>
      </c>
      <c r="AI13" s="99">
        <v>3</v>
      </c>
      <c r="AJ13" s="99" t="s">
        <v>393</v>
      </c>
      <c r="AK13" s="99">
        <v>117.33499999999999</v>
      </c>
      <c r="AL13" s="99">
        <v>31</v>
      </c>
      <c r="AM13" s="99" t="s">
        <v>397</v>
      </c>
      <c r="AN13" s="99">
        <v>1</v>
      </c>
      <c r="AO13" s="99" t="s">
        <v>398</v>
      </c>
      <c r="AP13" s="99" t="s">
        <v>402</v>
      </c>
      <c r="AQ13" s="99" t="str">
        <f>AQ9</f>
        <v>(mL/BBL)</v>
      </c>
      <c r="AR13" s="99" t="s">
        <v>405</v>
      </c>
      <c r="BG13" s="99"/>
      <c r="BH13" s="99"/>
      <c r="BI13" s="99"/>
      <c r="BJ13" s="99"/>
      <c r="BK13" s="100"/>
      <c r="BL13" s="100"/>
      <c r="BM13" s="99"/>
      <c r="BN13" s="99"/>
      <c r="BO13" s="99"/>
      <c r="BP13" s="99"/>
      <c r="BQ13" s="99"/>
      <c r="BR13" s="99"/>
      <c r="BS13" s="99"/>
      <c r="BT13" s="99"/>
      <c r="BU13" s="99"/>
      <c r="BV13" s="99"/>
      <c r="BW13" s="99"/>
      <c r="BX13" s="99"/>
      <c r="BY13" s="99"/>
      <c r="BZ13" s="99"/>
      <c r="CA13" s="99"/>
      <c r="CB13" s="99"/>
      <c r="CC13" s="99"/>
      <c r="CD13" s="99"/>
      <c r="CE13" s="99"/>
    </row>
    <row r="14" spans="1:83" ht="17.100000000000001" customHeight="1" x14ac:dyDescent="0.2">
      <c r="A14" s="628" t="s">
        <v>534</v>
      </c>
      <c r="B14" s="629"/>
      <c r="C14" s="298">
        <f>C11+IF(M26="no",AB42,C26+C27)</f>
        <v>107.24183486238532</v>
      </c>
      <c r="D14" s="298">
        <f>D11+IF(M26="no",AB43,0)</f>
        <v>4.0983073394495415</v>
      </c>
      <c r="E14" s="298">
        <f>E11+AB44+E28</f>
        <v>8</v>
      </c>
      <c r="F14" s="298">
        <f>F11+IF(M26="no",AB45,0)+F28</f>
        <v>77.555394495412841</v>
      </c>
      <c r="G14" s="298">
        <f>N(G11)+IF(M26="no",AB46,0)</f>
        <v>147.42907339449542</v>
      </c>
      <c r="H14" s="301">
        <f ca="1">H11+AB47</f>
        <v>-43.738417305657379</v>
      </c>
      <c r="I14" s="198" t="str">
        <f>IF(AND(M25="yes",M26="yes"),"Can't add all minerals to both the kettle and mash",IF(M25="yes","Add Sparging Mineral Additions to the Mash",IF(M26="yes","Add Hardness Minerals directly to Kettle","")))</f>
        <v>Add Sparging Mineral Additions to the Mash</v>
      </c>
      <c r="J14" s="13"/>
      <c r="K14" s="12"/>
      <c r="N14" s="662"/>
      <c r="O14" s="216"/>
      <c r="P14" s="217"/>
      <c r="Q14" s="100"/>
      <c r="T14" s="99">
        <v>4</v>
      </c>
      <c r="U14" s="99" t="s">
        <v>394</v>
      </c>
      <c r="V14" s="99">
        <v>100</v>
      </c>
      <c r="W14" s="99">
        <v>100</v>
      </c>
      <c r="X14" s="99" t="s">
        <v>396</v>
      </c>
      <c r="Y14" s="99">
        <v>1</v>
      </c>
      <c r="Z14" s="99" t="s">
        <v>399</v>
      </c>
      <c r="AA14" s="99" t="s">
        <v>403</v>
      </c>
      <c r="AB14" s="99" t="str">
        <f>AB10</f>
        <v>(mL/HL)</v>
      </c>
      <c r="AC14" s="99" t="s">
        <v>406</v>
      </c>
      <c r="AI14" s="99">
        <v>4</v>
      </c>
      <c r="AJ14" s="99" t="s">
        <v>394</v>
      </c>
      <c r="AK14" s="99">
        <v>100</v>
      </c>
      <c r="AL14" s="99">
        <v>100</v>
      </c>
      <c r="AM14" s="99" t="s">
        <v>396</v>
      </c>
      <c r="AN14" s="99">
        <v>1</v>
      </c>
      <c r="AO14" s="99" t="s">
        <v>399</v>
      </c>
      <c r="AP14" s="99" t="s">
        <v>403</v>
      </c>
      <c r="AQ14" s="99" t="str">
        <f>AQ10</f>
        <v>(mL/HL)</v>
      </c>
      <c r="AR14" s="99" t="s">
        <v>406</v>
      </c>
      <c r="BG14" s="99"/>
      <c r="BH14" s="99"/>
      <c r="BI14" s="99"/>
      <c r="BJ14" s="99"/>
      <c r="BK14" s="100"/>
      <c r="BL14" s="100"/>
      <c r="BM14" s="99"/>
      <c r="BN14" s="99"/>
      <c r="BO14" s="99"/>
      <c r="BP14" s="99"/>
      <c r="BQ14" s="99"/>
      <c r="BR14" s="99"/>
      <c r="BS14" s="99"/>
      <c r="BT14" s="99"/>
      <c r="BU14" s="99"/>
      <c r="BV14" s="99"/>
      <c r="BW14" s="99"/>
      <c r="BX14" s="99"/>
      <c r="BY14" s="99"/>
      <c r="BZ14" s="99"/>
      <c r="CA14" s="99"/>
      <c r="CB14" s="99"/>
      <c r="CC14" s="99"/>
      <c r="CD14" s="99"/>
      <c r="CE14" s="99"/>
    </row>
    <row r="15" spans="1:83" ht="17.100000000000001" customHeight="1" thickBot="1" x14ac:dyDescent="0.25">
      <c r="A15" s="628" t="s">
        <v>533</v>
      </c>
      <c r="B15" s="629"/>
      <c r="C15" s="5">
        <f>(((C11+$AB42)*$T$18*$V$15)+(('2. Sparge Acidification'!$L59)*$U$18*$V$15)+(1000*((0.2328*$K20)+(IF(M21="liquid",(M22/100)*0.3611*$K21,IF(M21="anhydrous",0.3611*$K21,0.2727*$K21))))))/(($T$18+$U$18)*$V$15)</f>
        <v>82.610318021201394</v>
      </c>
      <c r="D15" s="5">
        <f>(((D11+$AB43)*$T$18*$V$15)+(('2. Sparge Acidification'!$L60)*$U$18*$V$15)+(1000*((0.0986*$K22)+(0.1195*$K23))))/(($T$18+$U$18)*$V15)</f>
        <v>3.157</v>
      </c>
      <c r="E15" s="5">
        <f>((((E11+$AB44)*$T$18*$V$15)+(('2. Sparge Acidification'!$L61)*$U$18*$V$15)+(1000*((0.3934*$K24))))/(($T$18+$U$18)*$V15))+E28</f>
        <v>6.1625441696113068</v>
      </c>
      <c r="F15" s="5">
        <f>((((F11+$AB45)*$T$18*$V$15)+((('2. Sparge Acidification'!$L63)+(F35+F37))*$U$18*$V$15)+(1000*((0.558*$K20)+(0.3897*$K22))))/(($T$18+$U$18)*$V15))+F28</f>
        <v>59.742318021201413</v>
      </c>
      <c r="G15" s="5">
        <f>(((G11+$AB46)*$T$18*$V$15)+((('2. Sparge Acidification'!$L64)+(G35+G37))*$U$18*$V$15)+(1000*((0.6066*$K24)+(IF(M21="liquid",(M22/100)*0.6389*$K21,IF(M21="anhydrous",0.6389,0.4823)*$K21))+(0.3489*$K23))))/(($T$18+$U$18)*$V15)</f>
        <v>113.56727208480567</v>
      </c>
      <c r="H15" s="297" t="s">
        <v>565</v>
      </c>
      <c r="I15" s="196"/>
      <c r="J15" s="197"/>
      <c r="K15" s="603" t="str">
        <f>IF(G15&lt;25,"Ratio may not be valid",IF(G15&lt;100," ","Ratio may not be valid"))</f>
        <v>Ratio may not be valid</v>
      </c>
      <c r="L15" s="603"/>
      <c r="M15" s="604"/>
      <c r="N15" s="199">
        <f>IF(G15&lt;=0,0,F15/G15)</f>
        <v>0.52605224132344397</v>
      </c>
      <c r="P15"/>
      <c r="Q15" s="100"/>
      <c r="T15" s="265">
        <f>VLOOKUP('1. Water Report Input'!$H$7,watervaritable,1,FALSE)</f>
        <v>1</v>
      </c>
      <c r="U15" s="266" t="str">
        <f>VLOOKUP('1. Water Report Input'!$H$7,watervaritable,2,FALSE)</f>
        <v>Gallons</v>
      </c>
      <c r="V15" s="265">
        <f>VLOOKUP('1. Water Report Input'!$H$7,watervaritable,3,FALSE)</f>
        <v>3.7850000000000001</v>
      </c>
      <c r="W15" s="265">
        <f>VLOOKUP('1. Water Report Input'!$H$7,watervaritable,4,FALSE)</f>
        <v>128</v>
      </c>
      <c r="X15" s="266" t="str">
        <f>VLOOKUP('1. Water Report Input'!$H$7,watervaritable,5,FALSE)</f>
        <v>oz/gal</v>
      </c>
      <c r="Y15" s="265">
        <f>VLOOKUP('1. Water Report Input'!$H$7,watervaritable,6,FALSE)</f>
        <v>8</v>
      </c>
      <c r="Z15" s="266" t="str">
        <f>VLOOKUP('1. Water Report Input'!$H$7,watervaritable,7,FALSE)</f>
        <v>pt/gal</v>
      </c>
      <c r="AA15" s="266" t="str">
        <f>VLOOKUP('1. Water Report Input'!$H$7,watervaritable,8,FALSE)</f>
        <v>Addition   (gram/gal)</v>
      </c>
      <c r="AB15" s="266" t="str">
        <f>VLOOKUP('1. Water Report Input'!$H$7,watervaritable,9,FALSE)</f>
        <v>(mL/gal)</v>
      </c>
      <c r="AC15" s="266" t="str">
        <f>VLOOKUP('1. Water Report Input'!$H$7,watervaritable,10,FALSE)</f>
        <v>Water Volume   (gal)</v>
      </c>
      <c r="AD15" s="265"/>
      <c r="AI15" s="265">
        <f>VLOOKUP('1. Water Report Input'!$H$7,watervaritable,1,FALSE)</f>
        <v>1</v>
      </c>
      <c r="AJ15" s="266" t="str">
        <f>VLOOKUP('1. Water Report Input'!$H$7,watervaritable,2,FALSE)</f>
        <v>Gallons</v>
      </c>
      <c r="AK15" s="265">
        <f>VLOOKUP('1. Water Report Input'!$H$7,watervaritable,3,FALSE)</f>
        <v>3.7850000000000001</v>
      </c>
      <c r="AL15" s="265">
        <f>VLOOKUP('1. Water Report Input'!$H$7,watervaritable,4,FALSE)</f>
        <v>128</v>
      </c>
      <c r="AM15" s="266" t="str">
        <f>VLOOKUP('1. Water Report Input'!$H$7,watervaritable,5,FALSE)</f>
        <v>oz/gal</v>
      </c>
      <c r="AN15" s="265">
        <f>VLOOKUP('1. Water Report Input'!$H$7,watervaritable,6,FALSE)</f>
        <v>8</v>
      </c>
      <c r="AO15" s="266" t="str">
        <f>VLOOKUP('1. Water Report Input'!$H$7,watervaritable,7,FALSE)</f>
        <v>pt/gal</v>
      </c>
      <c r="AP15" s="266" t="str">
        <f>VLOOKUP('1. Water Report Input'!$H$7,watervaritable,8,FALSE)</f>
        <v>Addition   (gram/gal)</v>
      </c>
      <c r="AQ15" s="266" t="str">
        <f>VLOOKUP('1. Water Report Input'!$H$7,watervaritable2,9,FALSE)</f>
        <v>(mL/gal)</v>
      </c>
      <c r="AR15" s="266" t="str">
        <f>VLOOKUP('1. Water Report Input'!$H$7,watervaritable,10,FALSE)</f>
        <v>Water Volume   (gal)</v>
      </c>
      <c r="AS15" s="265"/>
      <c r="BG15" s="99"/>
      <c r="BH15" s="99"/>
      <c r="BI15" s="99"/>
      <c r="BJ15" s="99"/>
      <c r="BK15" s="100"/>
      <c r="BL15" s="100"/>
      <c r="BM15" s="99"/>
      <c r="BN15" s="99"/>
      <c r="BO15" s="99"/>
      <c r="BP15" s="99"/>
      <c r="BQ15" s="99"/>
      <c r="BR15" s="99"/>
      <c r="BS15" s="99"/>
      <c r="BT15" s="99"/>
      <c r="BU15" s="99"/>
      <c r="BV15" s="99"/>
      <c r="BW15" s="99"/>
      <c r="BX15" s="99"/>
      <c r="BY15" s="99"/>
      <c r="BZ15" s="99"/>
      <c r="CA15" s="99"/>
      <c r="CB15" s="99"/>
      <c r="CC15" s="99"/>
      <c r="CD15" s="99"/>
      <c r="CE15" s="99"/>
    </row>
    <row r="16" spans="1:83" ht="22.35" customHeight="1" x14ac:dyDescent="0.2">
      <c r="A16" s="127"/>
      <c r="B16" s="154"/>
      <c r="C16" s="653"/>
      <c r="D16" s="653"/>
      <c r="E16" s="653"/>
      <c r="F16" s="653"/>
      <c r="G16" s="653"/>
      <c r="H16" s="654"/>
      <c r="I16" s="674" t="s">
        <v>23</v>
      </c>
      <c r="J16" s="675"/>
      <c r="K16" s="675"/>
      <c r="L16" s="676"/>
      <c r="M16" s="657" t="s">
        <v>460</v>
      </c>
      <c r="N16" s="658"/>
      <c r="O16" s="692"/>
      <c r="P16" s="609"/>
      <c r="Q16" s="100"/>
      <c r="BG16" s="99"/>
      <c r="BH16" s="99"/>
      <c r="BI16" s="99"/>
      <c r="BJ16" s="99"/>
      <c r="BK16" s="100"/>
      <c r="BL16" s="100"/>
      <c r="BM16" s="99"/>
      <c r="BN16" s="99"/>
      <c r="BO16" s="99"/>
      <c r="BP16" s="99"/>
      <c r="BQ16" s="99"/>
      <c r="BR16" s="99"/>
      <c r="BS16" s="99"/>
      <c r="BT16" s="99"/>
      <c r="BU16" s="99"/>
      <c r="BV16" s="99"/>
      <c r="BW16" s="99"/>
      <c r="BX16" s="99"/>
      <c r="BY16" s="99"/>
      <c r="BZ16" s="99"/>
      <c r="CA16" s="99"/>
      <c r="CB16" s="99"/>
      <c r="CC16" s="99"/>
      <c r="CD16" s="99"/>
      <c r="CE16" s="99"/>
    </row>
    <row r="17" spans="1:83" ht="22.35" customHeight="1" x14ac:dyDescent="0.2">
      <c r="A17" s="194" t="s">
        <v>276</v>
      </c>
      <c r="B17" s="396">
        <f ca="1">'3. Grain Bill Input'!F24</f>
        <v>5.4000233247637608</v>
      </c>
      <c r="C17" s="624" t="s">
        <v>532</v>
      </c>
      <c r="D17" s="625"/>
      <c r="E17" s="625"/>
      <c r="F17" s="625"/>
      <c r="G17" s="625"/>
      <c r="H17" s="626"/>
      <c r="I17" s="616" t="s">
        <v>17</v>
      </c>
      <c r="J17" s="616"/>
      <c r="K17" s="616" t="s">
        <v>18</v>
      </c>
      <c r="L17" s="616"/>
      <c r="M17" s="659"/>
      <c r="N17" s="660"/>
      <c r="O17" s="692"/>
      <c r="P17" s="609"/>
      <c r="Q17" s="100"/>
      <c r="U17" s="264">
        <f ca="1">IF($M$26="yes",(V17-(($C$11+$C$26+$C$27)*0.7143)+($D$11*0.5879)),(V17-(($C$14*0.7143)+($D$14*0.5879))))</f>
        <v>-114.87056948535808</v>
      </c>
      <c r="V17" s="264">
        <f ca="1">$H$14*(50/61)*(1+(2*10^-4))</f>
        <v>-35.85833195829386</v>
      </c>
      <c r="BG17" s="99"/>
      <c r="BH17" s="99"/>
      <c r="BI17" s="99"/>
      <c r="BJ17" s="99"/>
      <c r="BK17" s="100"/>
      <c r="BL17" s="100"/>
      <c r="BM17" s="99"/>
      <c r="BN17" s="99"/>
      <c r="BO17" s="99"/>
      <c r="BP17" s="99"/>
      <c r="BQ17" s="99"/>
      <c r="BR17" s="99"/>
      <c r="BS17" s="99"/>
      <c r="BT17" s="99"/>
      <c r="BU17" s="99"/>
      <c r="BV17" s="99"/>
      <c r="BW17" s="99"/>
      <c r="BX17" s="99"/>
      <c r="BY17" s="99"/>
      <c r="BZ17" s="99"/>
      <c r="CA17" s="99"/>
      <c r="CB17" s="99"/>
      <c r="CC17" s="99"/>
      <c r="CD17" s="99"/>
      <c r="CE17" s="99"/>
    </row>
    <row r="18" spans="1:83" ht="38.65" customHeight="1" x14ac:dyDescent="0.25">
      <c r="A18" s="53" t="s">
        <v>207</v>
      </c>
      <c r="B18" s="54"/>
      <c r="C18" s="50"/>
      <c r="D18" s="50"/>
      <c r="E18" s="50"/>
      <c r="F18" s="50"/>
      <c r="G18" s="50"/>
      <c r="H18" s="50"/>
      <c r="I18" s="137" t="str">
        <f>AC15</f>
        <v>Water Volume   (gal)</v>
      </c>
      <c r="J18" s="315">
        <v>10.9</v>
      </c>
      <c r="K18" s="137" t="str">
        <f>AC15</f>
        <v>Water Volume   (gal)</v>
      </c>
      <c r="L18" s="315">
        <v>3.25</v>
      </c>
      <c r="M18" s="151" t="str">
        <f>AC15</f>
        <v>Water Volume   (gal)</v>
      </c>
      <c r="N18" s="315">
        <v>11.25</v>
      </c>
      <c r="Q18" s="100"/>
      <c r="T18" s="99">
        <f>IF(N(J18)=0,0.00001,N(J18))</f>
        <v>10.9</v>
      </c>
      <c r="U18" s="99">
        <f>IF(N(L18)=0,0.00001,N(L18))</f>
        <v>3.25</v>
      </c>
      <c r="V18" s="99">
        <f>IF(N(N18)=0,0.00001,N(N18))</f>
        <v>11.25</v>
      </c>
      <c r="W18" s="99" t="b">
        <f>'3. Grain Bill Input'!I21</f>
        <v>0</v>
      </c>
      <c r="X18" s="99">
        <f>T18*V15</f>
        <v>41.256500000000003</v>
      </c>
      <c r="AC18" s="99" t="s">
        <v>932</v>
      </c>
      <c r="AD18" s="99" t="s">
        <v>22</v>
      </c>
      <c r="AE18" s="99" t="s">
        <v>182</v>
      </c>
      <c r="AF18" s="99" t="s">
        <v>183</v>
      </c>
      <c r="AG18" s="99" t="s">
        <v>21</v>
      </c>
      <c r="BG18" s="99"/>
      <c r="BH18" s="99"/>
      <c r="BI18" s="99"/>
      <c r="BJ18" s="99"/>
      <c r="BK18" s="100"/>
      <c r="BL18" s="100"/>
      <c r="BM18" s="99"/>
      <c r="BN18" s="99"/>
      <c r="BO18" s="99"/>
      <c r="BP18" s="99"/>
      <c r="BQ18" s="99"/>
      <c r="BR18" s="99"/>
      <c r="BS18" s="99"/>
      <c r="BT18" s="99"/>
      <c r="BU18" s="99"/>
      <c r="BV18" s="99"/>
      <c r="BW18" s="99"/>
      <c r="BX18" s="99"/>
      <c r="BY18" s="99"/>
      <c r="BZ18" s="99"/>
      <c r="CA18" s="99"/>
      <c r="CB18" s="99"/>
      <c r="CC18" s="99"/>
      <c r="CD18" s="99"/>
      <c r="CE18" s="99"/>
    </row>
    <row r="19" spans="1:83" ht="27" customHeight="1" thickBot="1" x14ac:dyDescent="0.3">
      <c r="A19" s="186" t="s">
        <v>528</v>
      </c>
      <c r="B19" s="136" t="str">
        <f>AA15</f>
        <v>Addition   (gram/gal)</v>
      </c>
      <c r="C19" s="28" t="s">
        <v>119</v>
      </c>
      <c r="D19" s="28" t="s">
        <v>118</v>
      </c>
      <c r="E19" s="28" t="s">
        <v>120</v>
      </c>
      <c r="F19" s="28" t="s">
        <v>121</v>
      </c>
      <c r="G19" s="28" t="s">
        <v>122</v>
      </c>
      <c r="H19" s="52" t="s">
        <v>123</v>
      </c>
      <c r="I19" s="602" t="s">
        <v>242</v>
      </c>
      <c r="J19" s="602"/>
      <c r="K19" s="602" t="s">
        <v>242</v>
      </c>
      <c r="L19" s="602"/>
      <c r="M19" s="593"/>
      <c r="N19" s="594"/>
      <c r="O19" s="594"/>
      <c r="P19" s="100"/>
      <c r="Q19" s="100"/>
      <c r="AC19" s="99" t="s">
        <v>933</v>
      </c>
      <c r="AD19" s="99" t="s">
        <v>928</v>
      </c>
      <c r="AE19" s="99" t="s">
        <v>929</v>
      </c>
      <c r="AF19" s="99" t="s">
        <v>930</v>
      </c>
      <c r="AG19" s="99" t="s">
        <v>931</v>
      </c>
      <c r="BG19" s="99"/>
      <c r="BH19" s="99"/>
      <c r="BI19" s="99"/>
      <c r="BJ19" s="99"/>
      <c r="BK19" s="100"/>
      <c r="BL19" s="100"/>
      <c r="BM19" s="99"/>
      <c r="BN19" s="99"/>
      <c r="BO19" s="99"/>
      <c r="BP19" s="99"/>
      <c r="BQ19" s="99"/>
      <c r="BR19" s="99"/>
      <c r="BS19" s="99"/>
      <c r="BT19" s="99"/>
      <c r="BU19" s="99"/>
      <c r="BV19" s="99"/>
      <c r="BW19" s="99"/>
      <c r="BX19" s="99"/>
      <c r="BY19" s="99"/>
      <c r="BZ19" s="99"/>
      <c r="CA19" s="99"/>
      <c r="CB19" s="99"/>
      <c r="CC19" s="99"/>
      <c r="CD19" s="99"/>
      <c r="CE19" s="99"/>
    </row>
    <row r="20" spans="1:83" ht="16.5" customHeight="1" thickTop="1" x14ac:dyDescent="0.2">
      <c r="A20" s="166" t="s">
        <v>562</v>
      </c>
      <c r="B20" s="138">
        <v>0.4</v>
      </c>
      <c r="C20" s="103">
        <f>61.5*(3.785/V15)*N(B20)</f>
        <v>24.6</v>
      </c>
      <c r="D20" s="57"/>
      <c r="E20" s="57"/>
      <c r="F20" s="3">
        <f>147.43*(3.785/V15)*N(B20)</f>
        <v>58.972000000000008</v>
      </c>
      <c r="G20" s="57"/>
      <c r="H20" s="18"/>
      <c r="I20" s="671">
        <f>IF(M$25="yes",IF(M$27="yes",(N(B20)*($T$18+$U$18)),N(B20)*(T$18+U$18)),N(B20)*$T$18)</f>
        <v>5.66</v>
      </c>
      <c r="J20" s="672"/>
      <c r="K20" s="671">
        <f>IF(M25="yes",0,IF(M27="yes",(0.00678*(N15*(C26+C27)/((0.4177*N15)+0.5648)*U18))+(N(B20)*U18),(N(B20)*U18)))</f>
        <v>0</v>
      </c>
      <c r="L20" s="672"/>
      <c r="O20" s="249"/>
      <c r="P20" s="249"/>
      <c r="Q20" s="693" t="s">
        <v>678</v>
      </c>
      <c r="R20" s="693"/>
      <c r="AA20" s="99" t="s">
        <v>996</v>
      </c>
      <c r="AD20" s="99" t="str">
        <f>VLOOKUP('3. Grain Bill Input'!$B$20,SRMEBCtable,2,FALSE)</f>
        <v>Yellow: under 6 SRM</v>
      </c>
      <c r="AE20" s="99" t="str">
        <f>VLOOKUP('3. Grain Bill Input'!$B$20,SRMEBCtable,3,FALSE)</f>
        <v>Amber: 7 to 17 SRM</v>
      </c>
      <c r="AF20" s="99" t="str">
        <f>VLOOKUP('3. Grain Bill Input'!$B$20,SRMEBCtable,4,FALSE)</f>
        <v>Brown: 18 to 30 SRM</v>
      </c>
      <c r="AG20" s="99" t="str">
        <f>VLOOKUP('3. Grain Bill Input'!$B$20,SRMEBCtable,5,FALSE)</f>
        <v>Black: over 31 SRM</v>
      </c>
      <c r="BG20" s="99"/>
      <c r="BH20" s="99"/>
      <c r="BI20" s="99"/>
      <c r="BJ20" s="99"/>
      <c r="BK20" s="100"/>
      <c r="BL20" s="100"/>
      <c r="BM20" s="99"/>
      <c r="BN20" s="99"/>
      <c r="BO20" s="99"/>
      <c r="BP20" s="99"/>
      <c r="BQ20" s="99"/>
      <c r="BR20" s="99"/>
      <c r="BS20" s="99"/>
      <c r="BT20" s="99"/>
      <c r="BU20" s="99"/>
      <c r="BV20" s="99"/>
      <c r="BW20" s="99"/>
      <c r="BX20" s="99"/>
      <c r="BY20" s="99"/>
      <c r="BZ20" s="99"/>
      <c r="CA20" s="99"/>
      <c r="CB20" s="99"/>
      <c r="CC20" s="99"/>
      <c r="CD20" s="99"/>
      <c r="CE20" s="99"/>
    </row>
    <row r="21" spans="1:83" ht="16.5" customHeight="1" x14ac:dyDescent="0.2">
      <c r="A21" s="201" t="s">
        <v>557</v>
      </c>
      <c r="B21" s="140">
        <v>0.6</v>
      </c>
      <c r="C21" s="4">
        <f>IF(M21="liquid",B21*(M22/100)*95.4*(3.785/V15),IF(M21="anhydrous",95.4,72.05)*(3.785/V15)*N(B21))</f>
        <v>57.24</v>
      </c>
      <c r="D21" s="58"/>
      <c r="E21" s="58"/>
      <c r="F21" s="58"/>
      <c r="G21" s="4">
        <f>IF(M21="liquid",B21*(M22/100)*168.79*(3.785/V15),IF(M21="anhydrous",168.79,127.42)*(3.785/V15)*N(B21))</f>
        <v>101.27399999999999</v>
      </c>
      <c r="H21" s="60"/>
      <c r="I21" s="630">
        <f>IF(M$25="yes",IF(M$27="yes",(N(B21)*($T$18+$U$18)),N(B21)*(T$18+U$18)),N(B21)*$T$18)</f>
        <v>8.49</v>
      </c>
      <c r="J21" s="630"/>
      <c r="K21" s="595">
        <f>IF(M$25="yes",0,IF(M$27="yes",(0.00784*((C26+C27)/((0.4177*N15)+0.5648)*U18)+(B21*U18)),(N(B21)*U18)))</f>
        <v>0</v>
      </c>
      <c r="L21" s="595"/>
      <c r="M21" s="418" t="s">
        <v>552</v>
      </c>
      <c r="N21" s="656" t="s">
        <v>555</v>
      </c>
      <c r="O21" s="656"/>
      <c r="P21" s="656"/>
      <c r="Q21" s="693"/>
      <c r="R21" s="693"/>
      <c r="BG21" s="99"/>
      <c r="BH21" s="99"/>
      <c r="BI21" s="99"/>
      <c r="BJ21" s="99"/>
      <c r="BK21" s="100"/>
      <c r="BL21" s="100"/>
      <c r="BM21" s="99"/>
      <c r="BN21" s="99"/>
      <c r="BO21" s="99"/>
      <c r="BP21" s="99"/>
      <c r="BQ21" s="99"/>
      <c r="BR21" s="99"/>
      <c r="BS21" s="99"/>
      <c r="BT21" s="99"/>
      <c r="BU21" s="99"/>
      <c r="BV21" s="99"/>
      <c r="BW21" s="99"/>
      <c r="BX21" s="99"/>
      <c r="BY21" s="99"/>
      <c r="BZ21" s="99"/>
      <c r="CA21" s="99"/>
      <c r="CB21" s="99"/>
      <c r="CC21" s="99"/>
      <c r="CD21" s="99"/>
      <c r="CE21" s="99"/>
    </row>
    <row r="22" spans="1:83" ht="16.5" customHeight="1" x14ac:dyDescent="0.2">
      <c r="A22" s="167" t="s">
        <v>563</v>
      </c>
      <c r="B22" s="139">
        <v>0</v>
      </c>
      <c r="C22" s="58"/>
      <c r="D22" s="4">
        <f>26.05*(3.785/V15)*N(B22)</f>
        <v>0</v>
      </c>
      <c r="E22" s="58"/>
      <c r="F22" s="4">
        <f>102.96*(3.785/V15)*N(B22)</f>
        <v>0</v>
      </c>
      <c r="G22" s="58"/>
      <c r="H22" s="60"/>
      <c r="I22" s="587">
        <f>IF(M$25="yes",IF(M$27="yes",(N(B22)*($T$18+$U$18)),N(B22)*(T$18+U$18)),N(B22)*$T$18)</f>
        <v>0</v>
      </c>
      <c r="J22" s="588"/>
      <c r="K22" s="587">
        <f>IF(M25="yes",0,N(B22)*U$18)</f>
        <v>0</v>
      </c>
      <c r="L22" s="588"/>
      <c r="M22" s="253">
        <v>10</v>
      </c>
      <c r="N22" s="656" t="s">
        <v>556</v>
      </c>
      <c r="O22" s="656"/>
      <c r="P22" s="656"/>
      <c r="Q22" s="254">
        <v>1.17</v>
      </c>
      <c r="R22" s="36" t="s">
        <v>559</v>
      </c>
      <c r="W22" s="99" t="s">
        <v>549</v>
      </c>
      <c r="X22" s="99" t="s">
        <v>552</v>
      </c>
      <c r="AA22" s="99" t="s">
        <v>997</v>
      </c>
      <c r="BG22" s="99"/>
      <c r="BH22" s="99"/>
      <c r="BI22" s="99"/>
      <c r="BJ22" s="99"/>
      <c r="BK22" s="100"/>
      <c r="BL22" s="100"/>
      <c r="BM22" s="99"/>
      <c r="BN22" s="99"/>
      <c r="BO22" s="99"/>
      <c r="BP22" s="99"/>
      <c r="BQ22" s="99"/>
      <c r="BR22" s="99"/>
      <c r="BS22" s="99"/>
      <c r="BT22" s="99"/>
      <c r="BU22" s="99"/>
      <c r="BV22" s="99"/>
      <c r="BW22" s="99"/>
      <c r="BX22" s="99"/>
      <c r="BY22" s="99"/>
      <c r="BZ22" s="99"/>
      <c r="CA22" s="99"/>
      <c r="CB22" s="99"/>
      <c r="CC22" s="99"/>
      <c r="CD22" s="99"/>
      <c r="CE22" s="99"/>
    </row>
    <row r="23" spans="1:83" ht="16.5" customHeight="1" x14ac:dyDescent="0.2">
      <c r="A23" s="167" t="s">
        <v>564</v>
      </c>
      <c r="B23" s="140">
        <v>0.1</v>
      </c>
      <c r="C23" s="58"/>
      <c r="D23" s="4">
        <f>31.57*(3.785/V15)*N(B23)</f>
        <v>3.157</v>
      </c>
      <c r="E23" s="252"/>
      <c r="F23" s="58"/>
      <c r="G23" s="4">
        <f>92.12*(3.785/V15)*N(B23)</f>
        <v>9.2120000000000015</v>
      </c>
      <c r="H23" s="60"/>
      <c r="I23" s="630">
        <f>IF(M$25="yes",IF(M$27="yes",(N(B23)*($T$18+$U$18)),N(B23)*(T$18+U$18)),N(B23)*$T$18)</f>
        <v>1.415</v>
      </c>
      <c r="J23" s="630"/>
      <c r="K23" s="630">
        <f>IF(M$25="yes",0,N(B23)*U$18)</f>
        <v>0</v>
      </c>
      <c r="L23" s="630"/>
      <c r="M23" s="605" t="s">
        <v>561</v>
      </c>
      <c r="N23" s="606"/>
      <c r="O23" s="606"/>
      <c r="P23" s="607"/>
      <c r="Q23" s="255">
        <f>-36.158*(Q22^2)+(183.75*Q22)-147.47</f>
        <v>18.020813799999985</v>
      </c>
      <c r="R23" s="200" t="s">
        <v>560</v>
      </c>
      <c r="W23" s="99" t="s">
        <v>550</v>
      </c>
      <c r="X23" s="99" t="s">
        <v>553</v>
      </c>
      <c r="BG23" s="99"/>
      <c r="BH23" s="99"/>
      <c r="BI23" s="99"/>
      <c r="BJ23" s="99"/>
      <c r="BK23" s="100"/>
      <c r="BL23" s="100"/>
      <c r="BM23" s="99"/>
      <c r="BN23" s="99"/>
      <c r="BO23" s="99"/>
      <c r="BP23" s="99"/>
      <c r="BQ23" s="99"/>
      <c r="BR23" s="99"/>
      <c r="BS23" s="99"/>
      <c r="BT23" s="99"/>
      <c r="BU23" s="99"/>
      <c r="BV23" s="99"/>
      <c r="BW23" s="99"/>
      <c r="BX23" s="99"/>
      <c r="BY23" s="99"/>
      <c r="BZ23" s="99"/>
      <c r="CA23" s="99"/>
      <c r="CB23" s="99"/>
      <c r="CC23" s="99"/>
      <c r="CD23" s="99"/>
      <c r="CE23" s="99"/>
    </row>
    <row r="24" spans="1:83" ht="16.5" customHeight="1" x14ac:dyDescent="0.2">
      <c r="A24" s="251" t="s">
        <v>152</v>
      </c>
      <c r="B24" s="140">
        <v>0</v>
      </c>
      <c r="C24" s="58"/>
      <c r="D24" s="179"/>
      <c r="E24" s="4">
        <f>103.94*(3.785/V15)*N(B24)</f>
        <v>0</v>
      </c>
      <c r="F24" s="58"/>
      <c r="G24" s="204">
        <f>160.26*(3.785/V15)*N(B24)</f>
        <v>0</v>
      </c>
      <c r="H24" s="257"/>
      <c r="I24" s="595">
        <f>IF(M$25="yes",IF(M$27="yes",(N(B24)*($T$18+$U$18)),N(B24)*(T$18+U$18)),N(B24)*$T$18)</f>
        <v>0</v>
      </c>
      <c r="J24" s="595"/>
      <c r="K24" s="595">
        <f>IF(M$25="yes",0,N(B24)*U$18)</f>
        <v>0</v>
      </c>
      <c r="L24" s="595"/>
      <c r="N24" s="594" t="s">
        <v>558</v>
      </c>
      <c r="O24" s="594"/>
      <c r="P24" s="594"/>
      <c r="Q24" s="100"/>
      <c r="T24" s="452"/>
      <c r="X24" s="99" t="s">
        <v>554</v>
      </c>
      <c r="BG24" s="100"/>
      <c r="BH24" s="99"/>
      <c r="BI24" s="99"/>
      <c r="BJ24" s="99"/>
      <c r="BK24" s="100"/>
      <c r="BL24" s="100"/>
      <c r="BM24" s="99"/>
      <c r="BN24" s="99"/>
      <c r="BO24" s="99"/>
      <c r="BP24" s="99"/>
      <c r="BQ24" s="99"/>
      <c r="BR24" s="99"/>
      <c r="BS24" s="99"/>
      <c r="BT24" s="99"/>
      <c r="BU24" s="99"/>
      <c r="BV24" s="99"/>
      <c r="BW24" s="99"/>
      <c r="BX24" s="99"/>
      <c r="BY24" s="99"/>
      <c r="BZ24" s="99"/>
      <c r="CA24" s="99"/>
      <c r="CB24" s="99"/>
      <c r="CC24" s="99"/>
      <c r="CD24" s="99"/>
      <c r="CE24" s="99"/>
    </row>
    <row r="25" spans="1:83" ht="16.5" customHeight="1" x14ac:dyDescent="0.2">
      <c r="A25" s="167" t="s">
        <v>203</v>
      </c>
      <c r="B25" s="140">
        <v>0</v>
      </c>
      <c r="C25" s="58"/>
      <c r="D25" s="252"/>
      <c r="E25" s="4">
        <f>72.31*(3.785/V15)*N(B25)</f>
        <v>0</v>
      </c>
      <c r="F25" s="58"/>
      <c r="G25" s="252"/>
      <c r="H25" s="260">
        <f>191.88*(3.785/V15)*N(B25)</f>
        <v>0</v>
      </c>
      <c r="I25" s="630">
        <f>N(B25)*T$18</f>
        <v>0</v>
      </c>
      <c r="J25" s="630"/>
      <c r="K25" s="592" t="s">
        <v>20</v>
      </c>
      <c r="L25" s="592"/>
      <c r="M25" s="417" t="s">
        <v>549</v>
      </c>
      <c r="N25" s="650"/>
      <c r="O25" s="650"/>
      <c r="P25" s="650"/>
      <c r="AO25" s="394" t="s">
        <v>86</v>
      </c>
      <c r="AP25" s="394" t="s">
        <v>87</v>
      </c>
      <c r="AQ25" s="394" t="s">
        <v>88</v>
      </c>
      <c r="AR25" s="394" t="s">
        <v>89</v>
      </c>
      <c r="AS25" s="394" t="s">
        <v>90</v>
      </c>
      <c r="AT25" s="394" t="s">
        <v>108</v>
      </c>
      <c r="AU25" s="394" t="s">
        <v>202</v>
      </c>
      <c r="AV25" s="394" t="s">
        <v>346</v>
      </c>
      <c r="AW25" s="394" t="s">
        <v>347</v>
      </c>
      <c r="AX25" s="394" t="s">
        <v>348</v>
      </c>
      <c r="AY25" s="145"/>
      <c r="AZ25" s="145"/>
      <c r="BA25" s="145"/>
      <c r="BB25" s="145"/>
      <c r="BC25" s="145"/>
      <c r="BG25" s="100"/>
      <c r="BH25" s="99"/>
      <c r="BI25" s="99"/>
      <c r="BJ25" s="99"/>
      <c r="BK25" s="100"/>
      <c r="BL25" s="100"/>
      <c r="BM25" s="99"/>
      <c r="BN25" s="99"/>
      <c r="BO25" s="99"/>
      <c r="BP25" s="99"/>
      <c r="BQ25" s="99"/>
      <c r="BR25" s="99"/>
      <c r="BS25" s="99"/>
      <c r="BT25" s="99"/>
      <c r="BU25" s="99"/>
      <c r="BV25" s="99"/>
      <c r="BW25" s="99"/>
      <c r="BX25" s="99"/>
      <c r="BY25" s="99"/>
      <c r="BZ25" s="99"/>
      <c r="CA25" s="99"/>
      <c r="CB25" s="99"/>
      <c r="CC25" s="99"/>
      <c r="CD25" s="99"/>
      <c r="CE25" s="99"/>
    </row>
    <row r="26" spans="1:83" ht="16.5" customHeight="1" x14ac:dyDescent="0.2">
      <c r="A26" s="251" t="s">
        <v>204</v>
      </c>
      <c r="B26" s="256">
        <v>0</v>
      </c>
      <c r="C26" s="15">
        <f>105.8*(3.785/V15)*N(B26)</f>
        <v>0</v>
      </c>
      <c r="D26" s="179"/>
      <c r="E26" s="179"/>
      <c r="F26" s="179"/>
      <c r="G26" s="179"/>
      <c r="H26" s="40">
        <f>322.27*(3.785/V15)*N(B26)</f>
        <v>0</v>
      </c>
      <c r="I26" s="630">
        <f>N(B26)*T$18</f>
        <v>0</v>
      </c>
      <c r="J26" s="630"/>
      <c r="K26" s="592" t="s">
        <v>20</v>
      </c>
      <c r="L26" s="592"/>
      <c r="M26" s="416" t="s">
        <v>550</v>
      </c>
      <c r="N26" s="633" t="s">
        <v>676</v>
      </c>
      <c r="O26" s="634"/>
      <c r="P26" s="634"/>
      <c r="Q26" s="258"/>
      <c r="S26" s="105"/>
      <c r="U26" s="394" t="s">
        <v>86</v>
      </c>
      <c r="V26" s="394" t="s">
        <v>87</v>
      </c>
      <c r="W26" s="394" t="s">
        <v>88</v>
      </c>
      <c r="X26" s="394" t="s">
        <v>89</v>
      </c>
      <c r="Y26" s="394" t="s">
        <v>90</v>
      </c>
      <c r="Z26" s="394" t="s">
        <v>108</v>
      </c>
      <c r="AA26" s="394" t="s">
        <v>202</v>
      </c>
      <c r="AB26" s="394" t="s">
        <v>346</v>
      </c>
      <c r="AC26" s="394" t="s">
        <v>347</v>
      </c>
      <c r="AD26" s="394" t="s">
        <v>348</v>
      </c>
      <c r="AE26" s="145"/>
      <c r="AF26" s="145"/>
      <c r="AG26" s="145"/>
      <c r="AH26" s="145"/>
      <c r="AI26" s="145"/>
      <c r="AJ26" s="145"/>
      <c r="AN26" s="99">
        <v>1</v>
      </c>
      <c r="AO26" s="394" t="s">
        <v>91</v>
      </c>
      <c r="AP26" s="393">
        <v>4.75</v>
      </c>
      <c r="AQ26" s="393">
        <v>20</v>
      </c>
      <c r="AR26" s="393">
        <v>20</v>
      </c>
      <c r="AS26" s="393">
        <v>60.05</v>
      </c>
      <c r="AT26" s="393">
        <f>1000*((-7.575*10^(-10)*($D$33^4))+(7.01*10^(-8)*($D$33^3))+(-9.254*10^(-6)*($D$33^2))+(1.575*10^(-3)*$D$33)+0.9979)</f>
        <v>1012.7871250000001</v>
      </c>
      <c r="AU26" s="394">
        <v>1</v>
      </c>
      <c r="AV26" s="393" t="s">
        <v>349</v>
      </c>
      <c r="AW26" s="393" t="s">
        <v>436</v>
      </c>
      <c r="AX26" s="393" t="s">
        <v>352</v>
      </c>
      <c r="AY26" s="393" t="s">
        <v>503</v>
      </c>
      <c r="AZ26" s="393" t="s">
        <v>350</v>
      </c>
      <c r="BA26" s="390">
        <f t="shared" ref="BA26:BA34" si="2">VLOOKUP($AG$13,strengthtable2,3,FALSE)</f>
        <v>0</v>
      </c>
      <c r="BB26" s="390"/>
      <c r="BC26" s="264" t="s">
        <v>575</v>
      </c>
      <c r="BD26" s="393">
        <v>59</v>
      </c>
      <c r="BG26" s="100"/>
      <c r="BH26" s="99"/>
      <c r="BI26" s="99"/>
      <c r="BJ26" s="99"/>
      <c r="BK26" s="100"/>
      <c r="BL26" s="100"/>
      <c r="BM26" s="99"/>
      <c r="BN26" s="99"/>
      <c r="BO26" s="99"/>
      <c r="BP26" s="99"/>
      <c r="BQ26" s="99"/>
      <c r="BR26" s="99"/>
      <c r="BS26" s="99"/>
      <c r="BT26" s="99"/>
      <c r="BU26" s="99"/>
      <c r="BV26" s="99"/>
      <c r="BW26" s="99"/>
      <c r="BX26" s="99"/>
      <c r="BY26" s="99"/>
      <c r="BZ26" s="99"/>
      <c r="CA26" s="99"/>
      <c r="CB26" s="99"/>
      <c r="CC26" s="99"/>
      <c r="CD26" s="99"/>
      <c r="CE26" s="99"/>
    </row>
    <row r="27" spans="1:83" ht="16.5" customHeight="1" thickBot="1" x14ac:dyDescent="0.25">
      <c r="A27" s="167" t="s">
        <v>217</v>
      </c>
      <c r="B27" s="332">
        <v>0</v>
      </c>
      <c r="C27" s="4">
        <f>142.93*(3.785/V15)*N(B27)</f>
        <v>0</v>
      </c>
      <c r="D27" s="58"/>
      <c r="E27" s="58"/>
      <c r="F27" s="58"/>
      <c r="G27" s="58"/>
      <c r="H27" s="260">
        <f>434.75*(3.785/V15)*N(B27)</f>
        <v>0</v>
      </c>
      <c r="I27" s="630">
        <f>N(B27)*T$18</f>
        <v>0</v>
      </c>
      <c r="J27" s="630"/>
      <c r="K27" s="592" t="s">
        <v>20</v>
      </c>
      <c r="L27" s="592"/>
      <c r="M27" s="416" t="s">
        <v>550</v>
      </c>
      <c r="N27" s="608" t="s">
        <v>537</v>
      </c>
      <c r="O27" s="608"/>
      <c r="P27" s="608"/>
      <c r="S27" s="420"/>
      <c r="T27" s="99">
        <v>1</v>
      </c>
      <c r="U27" s="394" t="s">
        <v>91</v>
      </c>
      <c r="V27" s="393">
        <v>4.75</v>
      </c>
      <c r="W27" s="393">
        <v>20</v>
      </c>
      <c r="X27" s="393">
        <v>20</v>
      </c>
      <c r="Y27" s="393">
        <v>60.05</v>
      </c>
      <c r="Z27" s="393">
        <f>1000*((-7.575*10^(-10)*($D$31^4))+(7.01*10^(-8)*($D$31^3))+(-9.254*10^(-6)*($D$31^2))+(1.575*10^(-3)*$D$31)+0.9979)</f>
        <v>1068.4230390625</v>
      </c>
      <c r="AA27" s="394">
        <v>1</v>
      </c>
      <c r="AB27" s="393" t="s">
        <v>349</v>
      </c>
      <c r="AC27" s="393" t="s">
        <v>436</v>
      </c>
      <c r="AD27" s="393" t="s">
        <v>352</v>
      </c>
      <c r="AE27" s="393" t="s">
        <v>503</v>
      </c>
      <c r="AF27" s="393" t="s">
        <v>350</v>
      </c>
      <c r="AG27" s="390">
        <f t="shared" ref="AG27:AG35" si="3">VLOOKUP($AF$13,strengthtable,3,FALSE)</f>
        <v>-59.738417305657379</v>
      </c>
      <c r="AH27" s="390"/>
      <c r="AI27" s="264" t="s">
        <v>575</v>
      </c>
      <c r="AJ27" s="393">
        <v>59</v>
      </c>
      <c r="AN27" s="99">
        <v>2</v>
      </c>
      <c r="AO27" s="394" t="s">
        <v>93</v>
      </c>
      <c r="AP27" s="393">
        <v>-7</v>
      </c>
      <c r="AQ27" s="393">
        <v>20</v>
      </c>
      <c r="AR27" s="393">
        <v>20</v>
      </c>
      <c r="AS27" s="393">
        <v>36.46</v>
      </c>
      <c r="AT27" s="393">
        <f>1000*((-3.1666*10^(-7)*($D$33^3))+(1.8499*10^(-5)*($D$33^2))+(4.7666*10^(-3)*$D$33)+0.998)</f>
        <v>1047.1992400000001</v>
      </c>
      <c r="AU27" s="394">
        <v>1</v>
      </c>
      <c r="AV27" s="393" t="s">
        <v>349</v>
      </c>
      <c r="AW27" s="393" t="s">
        <v>436</v>
      </c>
      <c r="AX27" s="393" t="s">
        <v>352</v>
      </c>
      <c r="AY27" s="393" t="s">
        <v>504</v>
      </c>
      <c r="AZ27" s="393" t="s">
        <v>350</v>
      </c>
      <c r="BA27" s="390">
        <f t="shared" si="2"/>
        <v>0</v>
      </c>
      <c r="BB27" s="390"/>
      <c r="BC27" s="264"/>
      <c r="BD27" s="393"/>
      <c r="BG27" s="100"/>
      <c r="BH27" s="99"/>
      <c r="BI27" s="99"/>
      <c r="BJ27" s="99"/>
      <c r="BK27" s="100"/>
      <c r="BL27" s="100"/>
      <c r="BM27" s="99"/>
      <c r="BN27" s="99"/>
      <c r="BO27" s="99"/>
      <c r="BP27" s="99"/>
      <c r="BQ27" s="99"/>
      <c r="BR27" s="99"/>
      <c r="BS27" s="99"/>
      <c r="BT27" s="99"/>
      <c r="BU27" s="99"/>
      <c r="BV27" s="99"/>
      <c r="BW27" s="99"/>
      <c r="BX27" s="99"/>
      <c r="BY27" s="99"/>
      <c r="BZ27" s="99"/>
      <c r="CA27" s="99"/>
      <c r="CB27" s="99"/>
      <c r="CC27" s="99"/>
      <c r="CD27" s="99"/>
      <c r="CE27" s="99"/>
    </row>
    <row r="28" spans="1:83" ht="16.5" customHeight="1" thickTop="1" thickBot="1" x14ac:dyDescent="0.25">
      <c r="A28" s="331" t="s">
        <v>948</v>
      </c>
      <c r="B28" s="335">
        <v>0</v>
      </c>
      <c r="C28" s="334" t="s">
        <v>957</v>
      </c>
      <c r="D28" s="59"/>
      <c r="E28" s="329">
        <f>((B28*0.24*T18)+(IF(B28&gt;0,0.24*(B28+5)*U18,0)))/(T18+U18)</f>
        <v>0</v>
      </c>
      <c r="F28" s="329">
        <f>((B28*1.01*T18)+(IF(B28&gt;0,(B28+5)*1.01*U18,0)))/(T18+U18)</f>
        <v>0</v>
      </c>
      <c r="G28" s="59"/>
      <c r="H28" s="330"/>
      <c r="I28" s="582">
        <f>V15*T18*B28/1000</f>
        <v>0</v>
      </c>
      <c r="J28" s="583"/>
      <c r="K28" s="584">
        <f>IF(B28&gt;0,(B28+5)*V15*U18/1000,0)</f>
        <v>0</v>
      </c>
      <c r="L28" s="583"/>
      <c r="M28" s="333"/>
      <c r="N28" s="608"/>
      <c r="O28" s="608"/>
      <c r="P28" s="608"/>
      <c r="T28" s="99">
        <v>2</v>
      </c>
      <c r="U28" s="394" t="s">
        <v>93</v>
      </c>
      <c r="V28" s="393">
        <v>-7</v>
      </c>
      <c r="W28" s="393">
        <v>20</v>
      </c>
      <c r="X28" s="393">
        <v>20</v>
      </c>
      <c r="Y28" s="393">
        <v>36.46</v>
      </c>
      <c r="Z28" s="393">
        <f>1000*((-3.1666*10^(-7)*($D$31^3))+(1.8499*10^(-5)*($D$31^2))+(4.7666*10^(-3)*$D$31)+0.998)</f>
        <v>1342.3474524999999</v>
      </c>
      <c r="AA28" s="394">
        <v>1</v>
      </c>
      <c r="AB28" s="393" t="s">
        <v>349</v>
      </c>
      <c r="AC28" s="393" t="s">
        <v>436</v>
      </c>
      <c r="AD28" s="393" t="s">
        <v>352</v>
      </c>
      <c r="AE28" s="393" t="s">
        <v>504</v>
      </c>
      <c r="AF28" s="393" t="s">
        <v>350</v>
      </c>
      <c r="AG28" s="390">
        <f t="shared" si="3"/>
        <v>-59.738417305657379</v>
      </c>
      <c r="AH28" s="390"/>
      <c r="AI28" s="264"/>
      <c r="AJ28" s="393"/>
      <c r="AN28" s="99">
        <v>3</v>
      </c>
      <c r="AO28" s="394" t="s">
        <v>94</v>
      </c>
      <c r="AP28" s="393">
        <v>3.86</v>
      </c>
      <c r="AQ28" s="393">
        <v>20</v>
      </c>
      <c r="AR28" s="393">
        <v>20</v>
      </c>
      <c r="AS28" s="393">
        <v>90.08</v>
      </c>
      <c r="AT28" s="393">
        <f>1000*((-5.311*10^(-8)*($D$33^3))+(5.1587*10^(-6)*($D$33^2))+(2.32499*10^(-3)*$D$33)+0.9986)</f>
        <v>1022.3126600000001</v>
      </c>
      <c r="AU28" s="394">
        <v>1</v>
      </c>
      <c r="AV28" s="393" t="s">
        <v>349</v>
      </c>
      <c r="AW28" s="393" t="s">
        <v>436</v>
      </c>
      <c r="AX28" s="393" t="s">
        <v>352</v>
      </c>
      <c r="AY28" s="393" t="s">
        <v>505</v>
      </c>
      <c r="AZ28" s="393" t="s">
        <v>350</v>
      </c>
      <c r="BA28" s="390">
        <f t="shared" si="2"/>
        <v>0</v>
      </c>
      <c r="BB28" s="390"/>
      <c r="BC28" s="264" t="s">
        <v>576</v>
      </c>
      <c r="BD28" s="393">
        <v>89</v>
      </c>
      <c r="BG28" s="100"/>
      <c r="BH28" s="99"/>
      <c r="BI28" s="99"/>
      <c r="BJ28" s="99"/>
      <c r="BK28" s="100"/>
      <c r="BL28" s="100"/>
      <c r="BM28" s="99"/>
      <c r="BN28" s="99"/>
      <c r="BO28" s="99"/>
      <c r="BP28" s="99"/>
      <c r="BQ28" s="99"/>
      <c r="BR28" s="99"/>
      <c r="BS28" s="99"/>
      <c r="BT28" s="99"/>
      <c r="BU28" s="99"/>
      <c r="BV28" s="99"/>
      <c r="BW28" s="99"/>
      <c r="BX28" s="99"/>
      <c r="BY28" s="99"/>
      <c r="BZ28" s="99"/>
      <c r="CA28" s="99"/>
      <c r="CB28" s="99"/>
      <c r="CC28" s="99"/>
      <c r="CD28" s="99"/>
      <c r="CE28" s="99"/>
    </row>
    <row r="29" spans="1:83" ht="33.6" customHeight="1" thickTop="1" thickBot="1" x14ac:dyDescent="0.3">
      <c r="A29" s="187" t="s">
        <v>502</v>
      </c>
      <c r="B29" s="259" t="s">
        <v>572</v>
      </c>
      <c r="C29" s="610"/>
      <c r="D29" s="611"/>
      <c r="E29" s="612"/>
      <c r="F29" s="51" t="s">
        <v>121</v>
      </c>
      <c r="G29" s="51" t="s">
        <v>122</v>
      </c>
      <c r="H29" s="165" t="s">
        <v>123</v>
      </c>
      <c r="I29" s="620"/>
      <c r="J29" s="664"/>
      <c r="K29" s="619"/>
      <c r="L29" s="620"/>
      <c r="N29" s="328"/>
      <c r="O29" s="328"/>
      <c r="P29" s="328"/>
      <c r="T29" s="99">
        <v>3</v>
      </c>
      <c r="U29" s="394" t="s">
        <v>94</v>
      </c>
      <c r="V29" s="393">
        <v>3.86</v>
      </c>
      <c r="W29" s="393">
        <v>20</v>
      </c>
      <c r="X29" s="393">
        <v>20</v>
      </c>
      <c r="Y29" s="393">
        <v>90.08</v>
      </c>
      <c r="Z29" s="393">
        <f>1000*((-5.311*10^(-8)*($D$31^3))+(5.1587*10^(-6)*($D$31^2))+(2.32499*10^(-3)*$D$31)+0.9986)</f>
        <v>1200.8795787500001</v>
      </c>
      <c r="AA29" s="394">
        <v>1</v>
      </c>
      <c r="AB29" s="393" t="s">
        <v>349</v>
      </c>
      <c r="AC29" s="393" t="s">
        <v>436</v>
      </c>
      <c r="AD29" s="393" t="s">
        <v>352</v>
      </c>
      <c r="AE29" s="393" t="s">
        <v>505</v>
      </c>
      <c r="AF29" s="393" t="s">
        <v>350</v>
      </c>
      <c r="AG29" s="390">
        <f t="shared" si="3"/>
        <v>-59.738417305657379</v>
      </c>
      <c r="AH29" s="390"/>
      <c r="AI29" s="264" t="s">
        <v>576</v>
      </c>
      <c r="AJ29" s="393">
        <v>89</v>
      </c>
      <c r="AN29" s="99">
        <v>4</v>
      </c>
      <c r="AO29" s="394" t="s">
        <v>95</v>
      </c>
      <c r="AP29" s="393">
        <v>2.12</v>
      </c>
      <c r="AQ29" s="393">
        <v>7.2</v>
      </c>
      <c r="AR29" s="393">
        <v>12.44</v>
      </c>
      <c r="AS29" s="393">
        <v>98</v>
      </c>
      <c r="AT29" s="393">
        <f>1000*((-8.333*10^(-10)*($D$33^4))+(2.6448*10^(-7)*($D$33^3))+(1.4442*10^(-5)*($D$33^2))+(5.4705*10^(-3)*$D$33)+0.9958)</f>
        <v>1052.2053470000001</v>
      </c>
      <c r="AU29" s="394">
        <v>1</v>
      </c>
      <c r="AV29" s="393" t="s">
        <v>349</v>
      </c>
      <c r="AW29" s="393" t="s">
        <v>436</v>
      </c>
      <c r="AX29" s="393" t="s">
        <v>352</v>
      </c>
      <c r="AY29" s="393" t="s">
        <v>506</v>
      </c>
      <c r="AZ29" s="393" t="s">
        <v>350</v>
      </c>
      <c r="BA29" s="390">
        <f t="shared" si="2"/>
        <v>0</v>
      </c>
      <c r="BB29" s="390"/>
      <c r="BC29" s="264" t="s">
        <v>577</v>
      </c>
      <c r="BD29" s="393">
        <v>95</v>
      </c>
      <c r="BG29" s="100"/>
      <c r="BH29" s="99"/>
      <c r="BI29" s="99"/>
      <c r="BJ29" s="99"/>
      <c r="BK29" s="100"/>
      <c r="BL29" s="100"/>
      <c r="BM29" s="99"/>
      <c r="BN29" s="99"/>
      <c r="BO29" s="99"/>
      <c r="BP29" s="99"/>
      <c r="BQ29" s="99"/>
      <c r="BR29" s="99"/>
      <c r="BS29" s="99"/>
      <c r="BT29" s="99"/>
      <c r="BU29" s="99"/>
      <c r="BV29" s="99"/>
      <c r="BW29" s="99"/>
      <c r="BX29" s="99"/>
      <c r="BY29" s="99"/>
      <c r="BZ29" s="99"/>
      <c r="CA29" s="99"/>
      <c r="CB29" s="99"/>
      <c r="CC29" s="99"/>
      <c r="CD29" s="99"/>
      <c r="CE29" s="99"/>
    </row>
    <row r="30" spans="1:83" ht="15.6" customHeight="1" thickTop="1" x14ac:dyDescent="0.2">
      <c r="A30" s="218" t="s">
        <v>529</v>
      </c>
      <c r="B30" s="221" t="str">
        <f>AB15</f>
        <v>(mL/gal)</v>
      </c>
      <c r="C30" s="665" t="s">
        <v>574</v>
      </c>
      <c r="D30" s="665"/>
      <c r="E30" s="665"/>
      <c r="F30" s="665"/>
      <c r="G30" s="665"/>
      <c r="H30" s="586" t="str">
        <f>AF36</f>
        <v>Total Acid Addition (ml)</v>
      </c>
      <c r="I30" s="586"/>
      <c r="J30" s="586"/>
      <c r="K30" s="586"/>
      <c r="L30" s="183"/>
      <c r="M30" s="327" t="str">
        <f>IF(AND(M31=" ",M33=" ",M35=" ",M37=" ")," ",AI55)</f>
        <v>Acid Anion Concentrations</v>
      </c>
      <c r="N30" s="328"/>
      <c r="O30" s="328"/>
      <c r="P30" s="328"/>
      <c r="T30" s="99">
        <v>4</v>
      </c>
      <c r="U30" s="394" t="s">
        <v>95</v>
      </c>
      <c r="V30" s="393">
        <v>2.12</v>
      </c>
      <c r="W30" s="393">
        <v>7.2</v>
      </c>
      <c r="X30" s="393">
        <v>12.44</v>
      </c>
      <c r="Y30" s="393">
        <v>98</v>
      </c>
      <c r="Z30" s="393">
        <f>1000*((-8.333*10^(-10)*($D$31^4))+(2.6448*10^(-7)*($D$31^3))+(1.4442*10^(-5)*($D$31^2))+(5.4705*10^(-3)*$D$31)+0.9958)</f>
        <v>1684.0609491875</v>
      </c>
      <c r="AA30" s="394">
        <v>1</v>
      </c>
      <c r="AB30" s="393" t="s">
        <v>349</v>
      </c>
      <c r="AC30" s="393" t="s">
        <v>436</v>
      </c>
      <c r="AD30" s="393" t="s">
        <v>352</v>
      </c>
      <c r="AE30" s="393" t="s">
        <v>506</v>
      </c>
      <c r="AF30" s="393" t="s">
        <v>350</v>
      </c>
      <c r="AG30" s="390">
        <f t="shared" si="3"/>
        <v>-59.738417305657379</v>
      </c>
      <c r="AH30" s="390"/>
      <c r="AI30" s="264" t="s">
        <v>577</v>
      </c>
      <c r="AJ30" s="393">
        <v>95</v>
      </c>
      <c r="AN30" s="99">
        <v>5</v>
      </c>
      <c r="AO30" s="394" t="s">
        <v>96</v>
      </c>
      <c r="AP30" s="393">
        <v>-1</v>
      </c>
      <c r="AQ30" s="393">
        <v>1.92</v>
      </c>
      <c r="AR30" s="393">
        <v>20</v>
      </c>
      <c r="AS30" s="393">
        <v>98.07</v>
      </c>
      <c r="AT30" s="393">
        <f>1000*((-2.0911*10^(-8)*($D$33^4))+(3.4312*10^(-6)*($D$33^3))+(-1.3954*10^(-4)*($D$33^2))+(9.0885*10^(-3)*$D$33)+0.9947)</f>
        <v>1074.8530900000001</v>
      </c>
      <c r="AU30" s="394">
        <v>2</v>
      </c>
      <c r="AV30" s="393" t="s">
        <v>349</v>
      </c>
      <c r="AW30" s="393" t="s">
        <v>436</v>
      </c>
      <c r="AX30" s="393" t="s">
        <v>352</v>
      </c>
      <c r="AY30" s="393" t="s">
        <v>507</v>
      </c>
      <c r="AZ30" s="393" t="s">
        <v>350</v>
      </c>
      <c r="BA30" s="390">
        <f t="shared" si="2"/>
        <v>0</v>
      </c>
      <c r="BB30" s="390"/>
      <c r="BC30" s="264"/>
      <c r="BD30" s="393"/>
      <c r="BG30" s="100"/>
      <c r="BH30" s="99"/>
      <c r="BI30" s="99"/>
      <c r="BJ30" s="99"/>
      <c r="BK30" s="100"/>
      <c r="BL30" s="100"/>
      <c r="BM30" s="99"/>
      <c r="BN30" s="99"/>
      <c r="BO30" s="99"/>
      <c r="BP30" s="99"/>
      <c r="BQ30" s="99"/>
      <c r="BR30" s="99"/>
      <c r="BS30" s="99"/>
      <c r="BT30" s="99"/>
      <c r="BU30" s="99"/>
      <c r="BV30" s="99"/>
      <c r="BW30" s="99"/>
      <c r="BX30" s="99"/>
      <c r="BY30" s="99"/>
      <c r="BZ30" s="99"/>
      <c r="CA30" s="99"/>
      <c r="CB30" s="99"/>
      <c r="CC30" s="99"/>
      <c r="CD30" s="99"/>
      <c r="CE30" s="99"/>
    </row>
    <row r="31" spans="1:83" ht="15.6" customHeight="1" x14ac:dyDescent="0.2">
      <c r="A31" s="412" t="s">
        <v>95</v>
      </c>
      <c r="B31" s="175">
        <v>0.25</v>
      </c>
      <c r="C31" s="176" t="s">
        <v>356</v>
      </c>
      <c r="D31" s="177">
        <v>85</v>
      </c>
      <c r="E31" s="414" t="s">
        <v>200</v>
      </c>
      <c r="F31" s="38">
        <f>IF(AF12=9,W5,IF(AF12=5,VLOOKUP(AF$13,strengthtable,4,FALSE),0))</f>
        <v>0</v>
      </c>
      <c r="G31" s="38">
        <f>IF(AF12=9,X5,IF(AF12=2,VLOOKUP(AF$13,strengthtable,5,FALSE),0))</f>
        <v>0</v>
      </c>
      <c r="H31" s="39">
        <f>VLOOKUP($AF$13,strengthtable,3,FALSE)</f>
        <v>-59.738417305657379</v>
      </c>
      <c r="I31" s="585">
        <f>N(B31)*T$18</f>
        <v>2.7250000000000001</v>
      </c>
      <c r="J31" s="585"/>
      <c r="K31" s="599"/>
      <c r="L31" s="599"/>
      <c r="M31" s="206">
        <f>IF(B31=0," ",IF(OR(AF12=2,AF12=5,AF12=9)," ",-H31*VLOOKUP(AF12,acidtable,6,FALSE)/(61*V50)))</f>
        <v>94.547675482785678</v>
      </c>
      <c r="N31" s="621" t="str">
        <f>IF(B31=0," ",IF(OR(AF12=2,AF12=5,AF12=9)," ",VLOOKUP(AF12,acidtable,16,FALSE)))</f>
        <v>(ppm) Phosphate added to water</v>
      </c>
      <c r="O31" s="621"/>
      <c r="P31" s="621"/>
      <c r="Q31" s="100"/>
      <c r="T31" s="99">
        <v>5</v>
      </c>
      <c r="U31" s="394" t="s">
        <v>96</v>
      </c>
      <c r="V31" s="393">
        <v>-1</v>
      </c>
      <c r="W31" s="393">
        <v>1.92</v>
      </c>
      <c r="X31" s="393">
        <v>20</v>
      </c>
      <c r="Y31" s="393">
        <v>98.07</v>
      </c>
      <c r="Z31" s="393">
        <f>1000*((-2.0911*10^(-8)*($D$31^4))+(3.4312*10^(-6)*($D$31^3))+(-1.3954*10^(-4)*($D$31^2))+(9.0885*10^(-3)*$D$31)+0.9947)</f>
        <v>1774.664430625</v>
      </c>
      <c r="AA31" s="394">
        <v>2</v>
      </c>
      <c r="AB31" s="393" t="s">
        <v>349</v>
      </c>
      <c r="AC31" s="393" t="s">
        <v>436</v>
      </c>
      <c r="AD31" s="393" t="s">
        <v>352</v>
      </c>
      <c r="AE31" s="393" t="s">
        <v>507</v>
      </c>
      <c r="AF31" s="393" t="s">
        <v>350</v>
      </c>
      <c r="AG31" s="390">
        <f t="shared" si="3"/>
        <v>-59.738417305657379</v>
      </c>
      <c r="AH31" s="390"/>
      <c r="AI31" s="264"/>
      <c r="AJ31" s="393"/>
      <c r="AN31" s="99">
        <v>6</v>
      </c>
      <c r="AO31" s="394" t="s">
        <v>92</v>
      </c>
      <c r="AP31" s="393">
        <v>3.14</v>
      </c>
      <c r="AQ31" s="393">
        <v>4.7699999999999996</v>
      </c>
      <c r="AR31" s="393">
        <v>6.39</v>
      </c>
      <c r="AS31" s="393">
        <v>192.13</v>
      </c>
      <c r="AT31" s="393">
        <v>1480</v>
      </c>
      <c r="AU31" s="394">
        <v>1</v>
      </c>
      <c r="AV31" s="393" t="s">
        <v>285</v>
      </c>
      <c r="AW31" s="393" t="s">
        <v>437</v>
      </c>
      <c r="AX31" s="393" t="s">
        <v>354</v>
      </c>
      <c r="AY31" s="393" t="s">
        <v>508</v>
      </c>
      <c r="AZ31" s="393" t="s">
        <v>351</v>
      </c>
      <c r="BA31" s="390">
        <f t="shared" si="2"/>
        <v>0</v>
      </c>
      <c r="BB31" s="390"/>
      <c r="BC31" s="264" t="s">
        <v>578</v>
      </c>
      <c r="BD31" s="393">
        <v>189</v>
      </c>
      <c r="BG31" s="100"/>
      <c r="BH31" s="99"/>
      <c r="BI31" s="99"/>
      <c r="BJ31" s="99"/>
      <c r="BK31" s="100"/>
      <c r="BL31" s="100"/>
      <c r="BM31" s="99"/>
      <c r="BN31" s="99"/>
      <c r="BO31" s="99"/>
      <c r="BP31" s="99"/>
      <c r="BQ31" s="99"/>
      <c r="BR31" s="99"/>
      <c r="BS31" s="99"/>
      <c r="BT31" s="99"/>
      <c r="BU31" s="99"/>
      <c r="BV31" s="99"/>
      <c r="BW31" s="99"/>
      <c r="BX31" s="99"/>
      <c r="BY31" s="99"/>
      <c r="BZ31" s="99"/>
      <c r="CA31" s="99"/>
      <c r="CB31" s="99"/>
      <c r="CC31" s="99"/>
      <c r="CD31" s="99"/>
      <c r="CE31" s="99"/>
    </row>
    <row r="32" spans="1:83" ht="15.6" customHeight="1" x14ac:dyDescent="0.2">
      <c r="A32" s="171"/>
      <c r="B32" s="222" t="str">
        <f>AQ15</f>
        <v>(mL/gal)</v>
      </c>
      <c r="C32" s="172"/>
      <c r="D32" s="172"/>
      <c r="E32" s="172"/>
      <c r="F32" s="191"/>
      <c r="G32" s="191"/>
      <c r="H32" s="622" t="str">
        <f>AZ35</f>
        <v>Total Acid Addition (ml)</v>
      </c>
      <c r="I32" s="622"/>
      <c r="J32" s="622"/>
      <c r="K32" s="622"/>
      <c r="L32" s="193"/>
      <c r="M32" s="220"/>
      <c r="N32" s="105"/>
      <c r="O32" s="100"/>
      <c r="P32" s="100"/>
      <c r="Q32" s="100"/>
      <c r="T32" s="99">
        <v>6</v>
      </c>
      <c r="U32" s="394" t="s">
        <v>92</v>
      </c>
      <c r="V32" s="393">
        <v>3.14</v>
      </c>
      <c r="W32" s="393">
        <v>4.7699999999999996</v>
      </c>
      <c r="X32" s="393">
        <v>6.39</v>
      </c>
      <c r="Y32" s="393">
        <v>192.13</v>
      </c>
      <c r="Z32" s="393">
        <v>1480</v>
      </c>
      <c r="AA32" s="394">
        <v>1</v>
      </c>
      <c r="AB32" s="393" t="s">
        <v>285</v>
      </c>
      <c r="AC32" s="393" t="s">
        <v>437</v>
      </c>
      <c r="AD32" s="393" t="s">
        <v>354</v>
      </c>
      <c r="AE32" s="393" t="s">
        <v>508</v>
      </c>
      <c r="AF32" s="393" t="s">
        <v>351</v>
      </c>
      <c r="AG32" s="390">
        <f t="shared" si="3"/>
        <v>-59.738417305657379</v>
      </c>
      <c r="AH32" s="390"/>
      <c r="AI32" s="264" t="s">
        <v>578</v>
      </c>
      <c r="AJ32" s="393">
        <v>189</v>
      </c>
      <c r="AN32" s="99">
        <v>7</v>
      </c>
      <c r="AO32" s="394" t="s">
        <v>97</v>
      </c>
      <c r="AP32" s="393">
        <v>2.98</v>
      </c>
      <c r="AQ32" s="393">
        <v>4.34</v>
      </c>
      <c r="AR32" s="393">
        <v>20</v>
      </c>
      <c r="AS32" s="393">
        <v>150.09</v>
      </c>
      <c r="AT32" s="393">
        <v>1000</v>
      </c>
      <c r="AU32" s="394">
        <v>1</v>
      </c>
      <c r="AV32" s="393" t="s">
        <v>285</v>
      </c>
      <c r="AW32" s="393" t="s">
        <v>437</v>
      </c>
      <c r="AX32" s="393" t="s">
        <v>354</v>
      </c>
      <c r="AY32" s="393" t="s">
        <v>509</v>
      </c>
      <c r="AZ32" s="393" t="s">
        <v>351</v>
      </c>
      <c r="BA32" s="390">
        <f t="shared" si="2"/>
        <v>0</v>
      </c>
      <c r="BB32" s="390"/>
      <c r="BC32" s="264" t="s">
        <v>579</v>
      </c>
      <c r="BD32" s="393">
        <v>148</v>
      </c>
      <c r="BG32" s="100"/>
      <c r="BH32" s="99"/>
      <c r="BI32" s="99"/>
      <c r="BJ32" s="99"/>
      <c r="BK32" s="100"/>
      <c r="BL32" s="100"/>
      <c r="BM32" s="99"/>
      <c r="BN32" s="99"/>
      <c r="BO32" s="99"/>
      <c r="BP32" s="99"/>
      <c r="BQ32" s="99"/>
      <c r="BR32" s="99"/>
      <c r="BS32" s="99"/>
      <c r="BT32" s="99"/>
      <c r="BU32" s="99"/>
      <c r="BV32" s="99"/>
      <c r="BW32" s="99"/>
      <c r="BX32" s="99"/>
      <c r="BY32" s="99"/>
      <c r="BZ32" s="99"/>
      <c r="CA32" s="99"/>
      <c r="CB32" s="99"/>
      <c r="CC32" s="99"/>
      <c r="CD32" s="99"/>
      <c r="CE32" s="99"/>
    </row>
    <row r="33" spans="1:83" ht="15.6" customHeight="1" x14ac:dyDescent="0.2">
      <c r="A33" s="413" t="s">
        <v>95</v>
      </c>
      <c r="B33" s="178">
        <v>0</v>
      </c>
      <c r="C33" s="179" t="s">
        <v>356</v>
      </c>
      <c r="D33" s="180">
        <v>10</v>
      </c>
      <c r="E33" s="415" t="s">
        <v>200</v>
      </c>
      <c r="F33" s="15">
        <f>IF(AG12=9,AH5,IF(AG12=5,VLOOKUP(AG$13,strengthtable2,4,FALSE),0))</f>
        <v>0</v>
      </c>
      <c r="G33" s="15">
        <f>IF(AG12=9,AI5,IF(AG12=2,VLOOKUP(AG$13,strengthtable2,5,FALSE),0))</f>
        <v>0</v>
      </c>
      <c r="H33" s="40">
        <f>VLOOKUP($AG$13,strengthtable2,3,FALSE)</f>
        <v>0</v>
      </c>
      <c r="I33" s="670">
        <f>N(B33)*T$18</f>
        <v>0</v>
      </c>
      <c r="J33" s="670"/>
      <c r="K33" s="663"/>
      <c r="L33" s="663"/>
      <c r="M33" s="206" t="str">
        <f>IF(B33=0," ",IF(OR(AG12=2,AG12=5,AG12=9)," ",-H33*VLOOKUP(AG12,acidtable,6,FALSE)/(61*AG50)))</f>
        <v xml:space="preserve"> </v>
      </c>
      <c r="N33" s="621" t="str">
        <f>IF(B33=0," ",IF(OR(AG12=2,AG12=5,AG12=9)," ",VLOOKUP(AG12,acidtable2,16,FALSE)))</f>
        <v xml:space="preserve"> </v>
      </c>
      <c r="O33" s="621"/>
      <c r="P33" s="621"/>
      <c r="Q33" s="100"/>
      <c r="T33" s="99">
        <v>7</v>
      </c>
      <c r="U33" s="394" t="s">
        <v>97</v>
      </c>
      <c r="V33" s="393">
        <v>2.98</v>
      </c>
      <c r="W33" s="393">
        <v>4.34</v>
      </c>
      <c r="X33" s="393">
        <v>20</v>
      </c>
      <c r="Y33" s="393">
        <v>150.09</v>
      </c>
      <c r="Z33" s="393">
        <v>1000</v>
      </c>
      <c r="AA33" s="394">
        <v>1</v>
      </c>
      <c r="AB33" s="393" t="s">
        <v>285</v>
      </c>
      <c r="AC33" s="393" t="s">
        <v>437</v>
      </c>
      <c r="AD33" s="393" t="s">
        <v>354</v>
      </c>
      <c r="AE33" s="393" t="s">
        <v>509</v>
      </c>
      <c r="AF33" s="393" t="s">
        <v>351</v>
      </c>
      <c r="AG33" s="390">
        <f t="shared" si="3"/>
        <v>-59.738417305657379</v>
      </c>
      <c r="AH33" s="390"/>
      <c r="AI33" s="264" t="s">
        <v>579</v>
      </c>
      <c r="AJ33" s="393">
        <v>148</v>
      </c>
      <c r="AN33" s="99">
        <v>8</v>
      </c>
      <c r="AO33" s="394" t="s">
        <v>37</v>
      </c>
      <c r="AP33" s="393">
        <v>3.4</v>
      </c>
      <c r="AQ33" s="393">
        <v>5.2</v>
      </c>
      <c r="AR33" s="393">
        <v>20</v>
      </c>
      <c r="AS33" s="393">
        <v>134.09</v>
      </c>
      <c r="AT33" s="393">
        <v>1609</v>
      </c>
      <c r="AU33" s="394">
        <v>1</v>
      </c>
      <c r="AV33" s="393" t="s">
        <v>285</v>
      </c>
      <c r="AW33" s="393" t="s">
        <v>437</v>
      </c>
      <c r="AX33" s="393" t="s">
        <v>354</v>
      </c>
      <c r="AY33" s="393" t="s">
        <v>510</v>
      </c>
      <c r="AZ33" s="393" t="s">
        <v>351</v>
      </c>
      <c r="BA33" s="390">
        <f t="shared" si="2"/>
        <v>0</v>
      </c>
      <c r="BB33" s="390"/>
      <c r="BC33" s="264" t="s">
        <v>580</v>
      </c>
      <c r="BD33" s="393">
        <v>132</v>
      </c>
      <c r="BG33" s="100"/>
      <c r="BH33" s="99"/>
      <c r="BI33" s="99"/>
      <c r="BJ33" s="99"/>
      <c r="BK33" s="100"/>
      <c r="BL33" s="100"/>
      <c r="BM33" s="99"/>
      <c r="BN33" s="99"/>
      <c r="BO33" s="99"/>
      <c r="BP33" s="99"/>
      <c r="BQ33" s="99"/>
      <c r="BR33" s="99"/>
      <c r="BS33" s="99"/>
      <c r="BT33" s="99"/>
      <c r="BU33" s="99"/>
      <c r="BV33" s="99"/>
      <c r="BW33" s="99"/>
      <c r="BX33" s="99"/>
      <c r="BY33" s="99"/>
      <c r="BZ33" s="99"/>
      <c r="CA33" s="99"/>
      <c r="CB33" s="99"/>
      <c r="CC33" s="99"/>
      <c r="CD33" s="99"/>
      <c r="CE33" s="99"/>
    </row>
    <row r="34" spans="1:83" ht="15.6" customHeight="1" x14ac:dyDescent="0.2">
      <c r="A34" s="219" t="s">
        <v>367</v>
      </c>
      <c r="B34" s="223"/>
      <c r="C34" s="679" t="s">
        <v>573</v>
      </c>
      <c r="D34" s="679"/>
      <c r="E34" s="679"/>
      <c r="F34" s="679"/>
      <c r="G34" s="679"/>
      <c r="H34" s="679"/>
      <c r="I34" s="679"/>
      <c r="J34" s="681" t="str">
        <f>'2. Sparge Acidification'!L56</f>
        <v>Total Acid Addition (ml)</v>
      </c>
      <c r="K34" s="681"/>
      <c r="L34" s="682"/>
      <c r="M34" s="220"/>
      <c r="N34" s="105"/>
      <c r="O34" s="100"/>
      <c r="P34" s="100"/>
      <c r="Q34" s="100"/>
      <c r="T34" s="99">
        <v>8</v>
      </c>
      <c r="U34" s="394" t="s">
        <v>37</v>
      </c>
      <c r="V34" s="393">
        <v>3.4</v>
      </c>
      <c r="W34" s="393">
        <v>5.2</v>
      </c>
      <c r="X34" s="393">
        <v>20</v>
      </c>
      <c r="Y34" s="393">
        <v>134.09</v>
      </c>
      <c r="Z34" s="393">
        <v>1609</v>
      </c>
      <c r="AA34" s="394">
        <v>1</v>
      </c>
      <c r="AB34" s="393" t="s">
        <v>285</v>
      </c>
      <c r="AC34" s="393" t="s">
        <v>437</v>
      </c>
      <c r="AD34" s="393" t="s">
        <v>354</v>
      </c>
      <c r="AE34" s="393" t="s">
        <v>510</v>
      </c>
      <c r="AF34" s="393" t="s">
        <v>351</v>
      </c>
      <c r="AG34" s="390">
        <f t="shared" si="3"/>
        <v>-59.738417305657379</v>
      </c>
      <c r="AH34" s="390"/>
      <c r="AI34" s="264" t="s">
        <v>580</v>
      </c>
      <c r="AJ34" s="393">
        <v>132</v>
      </c>
      <c r="AN34" s="99">
        <v>9</v>
      </c>
      <c r="AO34" s="394" t="s">
        <v>438</v>
      </c>
      <c r="AP34" s="394">
        <v>1</v>
      </c>
      <c r="AQ34" s="394">
        <v>1</v>
      </c>
      <c r="AR34" s="394">
        <v>1</v>
      </c>
      <c r="AS34" s="394">
        <v>1</v>
      </c>
      <c r="AT34" s="394">
        <v>1</v>
      </c>
      <c r="AU34" s="394">
        <v>1</v>
      </c>
      <c r="AV34" s="393" t="s">
        <v>349</v>
      </c>
      <c r="AW34" s="393" t="s">
        <v>436</v>
      </c>
      <c r="AX34" s="393" t="s">
        <v>352</v>
      </c>
      <c r="AY34" s="393" t="s">
        <v>511</v>
      </c>
      <c r="AZ34" s="393" t="s">
        <v>350</v>
      </c>
      <c r="BA34" s="390">
        <f t="shared" si="2"/>
        <v>0</v>
      </c>
      <c r="BB34" s="390"/>
      <c r="BC34" s="264"/>
      <c r="BD34" s="393"/>
      <c r="BG34" s="100"/>
      <c r="BH34" s="99"/>
      <c r="BI34" s="99"/>
      <c r="BJ34" s="99"/>
      <c r="BK34" s="100"/>
      <c r="BL34" s="100"/>
      <c r="BM34" s="99"/>
      <c r="BN34" s="99"/>
      <c r="BO34" s="99"/>
      <c r="BP34" s="99"/>
      <c r="BQ34" s="99"/>
      <c r="BR34" s="99"/>
      <c r="BS34" s="99"/>
      <c r="BT34" s="99"/>
      <c r="BU34" s="99"/>
      <c r="BV34" s="99"/>
      <c r="BW34" s="99"/>
      <c r="BX34" s="99"/>
      <c r="BY34" s="99"/>
      <c r="BZ34" s="99"/>
      <c r="CA34" s="99"/>
      <c r="CB34" s="99"/>
      <c r="CC34" s="99"/>
      <c r="CD34" s="99"/>
      <c r="CE34" s="99"/>
    </row>
    <row r="35" spans="1:83" ht="15.6" customHeight="1" x14ac:dyDescent="0.2">
      <c r="A35" s="174" t="str">
        <f>IF('2. Sparge Acidification'!B15=100," ",'2. Sparge Acidification'!B56)</f>
        <v>Phosphoric</v>
      </c>
      <c r="B35" s="188"/>
      <c r="C35" s="176" t="s">
        <v>356</v>
      </c>
      <c r="D35" s="182">
        <f>IF('2. Sparge Acidification'!B14=0," ",IF('2. Sparge Acidification'!B15=100," ",'2. Sparge Acidification'!B14))</f>
        <v>10</v>
      </c>
      <c r="E35" s="182" t="str">
        <f>IF('2. Sparge Acidification'!B15=100," ",'2. Sparge Acidification'!B63)</f>
        <v>%</v>
      </c>
      <c r="F35" s="38">
        <f>'2. Sparge Acidification'!F22</f>
        <v>0</v>
      </c>
      <c r="G35" s="38">
        <f>'2. Sparge Acidification'!F23</f>
        <v>0</v>
      </c>
      <c r="H35" s="182"/>
      <c r="I35" s="690"/>
      <c r="J35" s="690"/>
      <c r="K35" s="585">
        <f>IF('2. Sparge Acidification'!B$12=1,'4. Water Adjustment'!U$18*'2. Sparge Acidification'!B$20,'2. Sparge Acidification'!B$20)</f>
        <v>1.495969866718776</v>
      </c>
      <c r="L35" s="585"/>
      <c r="M35" s="206">
        <f>IF(OR('2. Sparge Acidification'!B13=2,'2. Sparge Acidification'!B13=5,'2. Sparge Acidification'!B13=9)," ",IF('2. Sparge Acidification'!B15=100," ",IF('2. Sparge Acidification'!B24&lt;1," ",'2. Sparge Acidification'!B24)))</f>
        <v>12.420929310657241</v>
      </c>
      <c r="N35" s="621" t="str">
        <f>IF(M35=" "," ",IF(OR('2. Sparge Acidification'!B13=2,'2. Sparge Acidification'!B13=5,'2. Sparge Acidification'!B13=9)," ",IF('2. Sparge Acidification'!P15=100," ",IF('2. Sparge Acidification'!B24&lt;1," ",'2. Sparge Acidification'!Q56))))</f>
        <v>(ppm) Phosphate added to water</v>
      </c>
      <c r="O35" s="621"/>
      <c r="P35" s="621"/>
      <c r="Q35" s="100"/>
      <c r="T35" s="99">
        <v>9</v>
      </c>
      <c r="U35" s="394" t="s">
        <v>438</v>
      </c>
      <c r="V35" s="394">
        <v>1</v>
      </c>
      <c r="W35" s="394">
        <v>1</v>
      </c>
      <c r="X35" s="394">
        <v>1</v>
      </c>
      <c r="Y35" s="394">
        <v>1</v>
      </c>
      <c r="Z35" s="394">
        <v>1</v>
      </c>
      <c r="AA35" s="394">
        <v>1</v>
      </c>
      <c r="AB35" s="393" t="s">
        <v>349</v>
      </c>
      <c r="AC35" s="393" t="s">
        <v>436</v>
      </c>
      <c r="AD35" s="393" t="s">
        <v>352</v>
      </c>
      <c r="AE35" s="393" t="s">
        <v>511</v>
      </c>
      <c r="AF35" s="393" t="s">
        <v>350</v>
      </c>
      <c r="AG35" s="390">
        <f t="shared" si="3"/>
        <v>-59.738417305657379</v>
      </c>
      <c r="AH35" s="390"/>
      <c r="AI35" s="264"/>
      <c r="AJ35" s="393"/>
      <c r="AO35" s="393" t="str">
        <f>VLOOKUP($AG$12,acidtable2,2,FALSE)</f>
        <v>Phosphoric</v>
      </c>
      <c r="AP35" s="393">
        <f>VLOOKUP($AG$12,acidtable2,3,FALSE)</f>
        <v>2.12</v>
      </c>
      <c r="AQ35" s="393">
        <f>VLOOKUP($AG$12,acidtable2,4,FALSE)</f>
        <v>7.2</v>
      </c>
      <c r="AR35" s="393">
        <f>VLOOKUP($AG$12,acidtable2,5,FALSE)</f>
        <v>12.44</v>
      </c>
      <c r="AS35" s="393">
        <f>VLOOKUP($AG$12,acidtable2,6,FALSE)</f>
        <v>98</v>
      </c>
      <c r="AT35" s="393">
        <f>VLOOKUP($AG$12,acidtable2,7,FALSE)</f>
        <v>1052.2053470000001</v>
      </c>
      <c r="AU35" s="393">
        <f>VLOOKUP($AG$12,acidtable2,8,FALSE)</f>
        <v>1</v>
      </c>
      <c r="AV35" s="393" t="str">
        <f>VLOOKUP($AG$12,acidtable2,9,FALSE)</f>
        <v>(ml)</v>
      </c>
      <c r="AW35" s="393" t="str">
        <f>VLOOKUP($AG$12,acidtable2,10,FALSE)</f>
        <v>(tsp)</v>
      </c>
      <c r="AX35" s="393" t="str">
        <f>VLOOKUP($AG$12,acidtable2,11,FALSE)</f>
        <v>Addition        (mL/gal)</v>
      </c>
      <c r="AY35" s="393" t="str">
        <f>VLOOKUP($AG$12,acidtable2,12,FALSE)</f>
        <v>Phosphoric Acid Required =</v>
      </c>
      <c r="AZ35" s="393" t="str">
        <f>VLOOKUP($AG$12,acidtable2,13,FALSE)</f>
        <v>Total Acid Addition (ml)</v>
      </c>
      <c r="BA35" s="393">
        <f>VLOOKUP($AG$12,acidtable2,14,FALSE)</f>
        <v>0</v>
      </c>
      <c r="BB35" s="393">
        <f>VLOOKUP($AG$12,acidtable2,15,FALSE)</f>
        <v>0</v>
      </c>
      <c r="BC35" s="393" t="str">
        <f>VLOOKUP($AG$12,acidtable2,16,FALSE)</f>
        <v>(ppm) Phosphate added to water</v>
      </c>
      <c r="BD35" s="393">
        <f>VLOOKUP($AG$12,acidtable2,17,FALSE)</f>
        <v>95</v>
      </c>
      <c r="BG35" s="100"/>
      <c r="BH35" s="99"/>
      <c r="BI35" s="99"/>
      <c r="BJ35" s="99"/>
      <c r="BK35" s="100"/>
      <c r="BL35" s="100"/>
      <c r="BM35" s="99"/>
      <c r="BN35" s="99"/>
      <c r="BO35" s="99"/>
      <c r="BP35" s="99"/>
      <c r="BQ35" s="99"/>
      <c r="BR35" s="99"/>
      <c r="BS35" s="99"/>
      <c r="BT35" s="99"/>
      <c r="BU35" s="99"/>
      <c r="BV35" s="99"/>
      <c r="BW35" s="99"/>
      <c r="BX35" s="99"/>
      <c r="BY35" s="99"/>
      <c r="BZ35" s="99"/>
      <c r="CA35" s="99"/>
      <c r="CB35" s="99"/>
      <c r="CC35" s="99"/>
      <c r="CD35" s="99"/>
      <c r="CE35" s="99"/>
    </row>
    <row r="36" spans="1:83" ht="15.6" customHeight="1" x14ac:dyDescent="0.2">
      <c r="A36" s="189"/>
      <c r="B36" s="190"/>
      <c r="C36" s="190"/>
      <c r="D36" s="190"/>
      <c r="E36" s="190"/>
      <c r="F36" s="190"/>
      <c r="G36" s="190"/>
      <c r="H36" s="190"/>
      <c r="I36" s="190"/>
      <c r="J36" s="688" t="str">
        <f>'2. Sparge Acidification'!L83</f>
        <v>Total Acid Addition (ml)</v>
      </c>
      <c r="K36" s="688"/>
      <c r="L36" s="689"/>
      <c r="M36" s="278"/>
      <c r="N36" s="105"/>
      <c r="O36" s="100"/>
      <c r="P36" s="100"/>
      <c r="Q36" s="100"/>
      <c r="U36" s="393" t="str">
        <f>VLOOKUP($AF$12,acidtable,2,FALSE)</f>
        <v>Phosphoric</v>
      </c>
      <c r="V36" s="393">
        <f>VLOOKUP($AF$12,acidtable,3,FALSE)</f>
        <v>2.12</v>
      </c>
      <c r="W36" s="393">
        <f>VLOOKUP($AF$12,acidtable,4,FALSE)</f>
        <v>7.2</v>
      </c>
      <c r="X36" s="393">
        <f>VLOOKUP($AF$12,acidtable,5,FALSE)</f>
        <v>12.44</v>
      </c>
      <c r="Y36" s="393">
        <f>VLOOKUP($AF$12,acidtable,6,FALSE)</f>
        <v>98</v>
      </c>
      <c r="Z36" s="393">
        <f>VLOOKUP($AF$12,acidtable,7,FALSE)</f>
        <v>1684.0609491875</v>
      </c>
      <c r="AA36" s="393">
        <f>VLOOKUP($AF$12,acidtable,8,FALSE)</f>
        <v>1</v>
      </c>
      <c r="AB36" s="393" t="str">
        <f>VLOOKUP($AF$12,acidtable,9,FALSE)</f>
        <v>(ml)</v>
      </c>
      <c r="AC36" s="393" t="str">
        <f>VLOOKUP($AF$12,acidtable,10,FALSE)</f>
        <v>(tsp)</v>
      </c>
      <c r="AD36" s="393" t="str">
        <f>VLOOKUP($AF$12,acidtable,11,FALSE)</f>
        <v>Addition        (mL/gal)</v>
      </c>
      <c r="AE36" s="393" t="str">
        <f>VLOOKUP($AF$12,acidtable,12,FALSE)</f>
        <v>Phosphoric Acid Required =</v>
      </c>
      <c r="AF36" s="393" t="str">
        <f>VLOOKUP($AF$12,acidtable,13,FALSE)</f>
        <v>Total Acid Addition (ml)</v>
      </c>
      <c r="AG36" s="393">
        <f>VLOOKUP($AF$12,acidtable,14,FALSE)</f>
        <v>-59.738417305657379</v>
      </c>
      <c r="AH36" s="393">
        <f>VLOOKUP($AF$12,acidtable,15,FALSE)</f>
        <v>0</v>
      </c>
      <c r="AI36" s="393" t="str">
        <f>VLOOKUP($AF$12,acidtable,16,FALSE)</f>
        <v>(ppm) Phosphate added to water</v>
      </c>
      <c r="AJ36" s="393">
        <f>VLOOKUP($AF$12,acidtable,17,FALSE)</f>
        <v>95</v>
      </c>
      <c r="BG36" s="100"/>
      <c r="BH36" s="99"/>
      <c r="BI36" s="99"/>
      <c r="BJ36" s="99"/>
      <c r="BK36" s="100"/>
      <c r="BL36" s="100"/>
      <c r="BM36" s="99"/>
      <c r="BN36" s="99"/>
      <c r="BO36" s="99"/>
      <c r="BP36" s="99"/>
      <c r="BQ36" s="99"/>
      <c r="BR36" s="99"/>
      <c r="BS36" s="99"/>
      <c r="BT36" s="99"/>
      <c r="BU36" s="99"/>
      <c r="BV36" s="99"/>
      <c r="BW36" s="99"/>
      <c r="BX36" s="99"/>
      <c r="BY36" s="99"/>
      <c r="BZ36" s="99"/>
      <c r="CA36" s="99"/>
      <c r="CB36" s="99"/>
      <c r="CC36" s="99"/>
      <c r="CD36" s="99"/>
      <c r="CE36" s="99"/>
    </row>
    <row r="37" spans="1:83" ht="16.5" customHeight="1" thickBot="1" x14ac:dyDescent="0.25">
      <c r="A37" s="168" t="str">
        <f>IF('2. Sparge Acidification'!B15=0," ",'2. Sparge Acidification'!B83)</f>
        <v xml:space="preserve"> </v>
      </c>
      <c r="B37" s="192"/>
      <c r="C37" s="169" t="s">
        <v>356</v>
      </c>
      <c r="D37" s="173" t="str">
        <f>IF('2. Sparge Acidification'!B17=0," ",IF('2. Sparge Acidification'!B15=0," ",'2. Sparge Acidification'!B17))</f>
        <v xml:space="preserve"> </v>
      </c>
      <c r="E37" s="173" t="str">
        <f>IF('2. Sparge Acidification'!B15=0," ",'2. Sparge Acidification'!B90)</f>
        <v xml:space="preserve"> </v>
      </c>
      <c r="F37" s="170">
        <f>'2. Sparge Acidification'!G22</f>
        <v>0</v>
      </c>
      <c r="G37" s="170">
        <f>'2. Sparge Acidification'!G23</f>
        <v>0</v>
      </c>
      <c r="H37" s="173"/>
      <c r="I37" s="680"/>
      <c r="J37" s="680"/>
      <c r="K37" s="683">
        <f>IF('2. Sparge Acidification'!B$12=1,'4. Water Adjustment'!U$18*'2. Sparge Acidification'!B$21,'2. Sparge Acidification'!B$21)</f>
        <v>0</v>
      </c>
      <c r="L37" s="683"/>
      <c r="M37" s="206" t="str">
        <f>IF(OR('2. Sparge Acidification'!B16=2,'2. Sparge Acidification'!B16=5,'2. Sparge Acidification'!B16=9)," ",IF('2. Sparge Acidification'!B15=0," ",IF('2. Sparge Acidification'!B25&lt;1," ",'2. Sparge Acidification'!B25)))</f>
        <v xml:space="preserve"> </v>
      </c>
      <c r="N37" s="621" t="str">
        <f>IF(M37=" "," ",IF(OR('2. Sparge Acidification'!B16=2,'2. Sparge Acidification'!B16=5,'2. Sparge Acidification'!B16=9)," ",IF('2. Sparge Acidification'!B15=0," ",IF('2. Sparge Acidification'!B25&lt;1," ",'2. Sparge Acidification'!Q83))))</f>
        <v xml:space="preserve"> </v>
      </c>
      <c r="O37" s="621"/>
      <c r="P37" s="621"/>
      <c r="Q37" s="100"/>
      <c r="AO37" s="393"/>
      <c r="AP37" s="393"/>
      <c r="AQ37" s="393"/>
      <c r="AR37" s="393"/>
      <c r="AS37" s="393"/>
      <c r="AT37" s="393"/>
      <c r="AU37" s="393"/>
      <c r="BG37" s="100"/>
      <c r="BH37" s="99"/>
      <c r="BI37" s="99"/>
      <c r="BJ37" s="99"/>
      <c r="BK37" s="100"/>
      <c r="BL37" s="100"/>
      <c r="BM37" s="99"/>
      <c r="BN37" s="99"/>
      <c r="BO37" s="99"/>
      <c r="BP37" s="99"/>
      <c r="BQ37" s="99"/>
      <c r="BR37" s="99"/>
      <c r="BS37" s="99"/>
      <c r="BT37" s="99"/>
      <c r="BU37" s="99"/>
      <c r="BV37" s="99"/>
      <c r="BW37" s="99"/>
      <c r="BX37" s="99"/>
      <c r="BY37" s="99"/>
      <c r="BZ37" s="99"/>
      <c r="CA37" s="99"/>
      <c r="CB37" s="99"/>
      <c r="CC37" s="99"/>
      <c r="CD37" s="99"/>
      <c r="CE37" s="99"/>
    </row>
    <row r="38" spans="1:83" ht="35.65" customHeight="1" thickTop="1" x14ac:dyDescent="0.2">
      <c r="A38" s="270"/>
      <c r="H38" s="101" t="str">
        <f>IF(AND(OR(H31&lt;0,H33&lt;0),OR(H25&gt;0,H26&gt;0,H27&gt;0)),"Both acid and alkaline minerals are input.  Avoid adding both an acid and alkali to the mash ","")</f>
        <v/>
      </c>
      <c r="M38" s="100"/>
      <c r="N38" s="100"/>
      <c r="O38" s="100"/>
      <c r="P38" s="100"/>
      <c r="Q38" s="100"/>
      <c r="BG38" s="100"/>
      <c r="BH38" s="99"/>
      <c r="BI38" s="99"/>
      <c r="BJ38" s="99"/>
      <c r="BK38" s="100"/>
      <c r="BL38" s="100"/>
      <c r="BM38" s="99"/>
      <c r="BN38" s="99"/>
      <c r="BO38" s="99"/>
      <c r="BP38" s="99"/>
      <c r="BQ38" s="99"/>
      <c r="BR38" s="99"/>
      <c r="BS38" s="99"/>
      <c r="BT38" s="99"/>
      <c r="BU38" s="99"/>
      <c r="BV38" s="99"/>
      <c r="BW38" s="99"/>
      <c r="BX38" s="99"/>
      <c r="BY38" s="99"/>
      <c r="BZ38" s="99"/>
      <c r="CA38" s="99"/>
      <c r="CB38" s="99"/>
      <c r="CC38" s="99"/>
      <c r="CD38" s="99"/>
      <c r="CE38" s="99"/>
    </row>
    <row r="39" spans="1:83" ht="61.15" customHeight="1" x14ac:dyDescent="0.2">
      <c r="A39" s="687" t="s">
        <v>680</v>
      </c>
      <c r="B39" s="687"/>
      <c r="C39" s="687"/>
      <c r="D39" s="687"/>
      <c r="E39" s="687"/>
      <c r="F39" s="687"/>
      <c r="G39" s="687"/>
      <c r="H39" s="687"/>
      <c r="I39" s="687"/>
      <c r="J39" s="687"/>
      <c r="K39" s="687"/>
      <c r="L39" s="687"/>
      <c r="M39" s="276"/>
      <c r="N39" s="276"/>
      <c r="O39" s="100"/>
      <c r="P39" s="100"/>
      <c r="Q39" s="100"/>
      <c r="BG39" s="99"/>
      <c r="BH39" s="99"/>
      <c r="BI39" s="99"/>
      <c r="BJ39" s="99"/>
      <c r="BK39" s="100"/>
      <c r="BL39" s="100"/>
      <c r="BM39" s="99"/>
      <c r="BN39" s="99"/>
      <c r="BO39" s="99"/>
      <c r="BP39" s="99"/>
      <c r="BQ39" s="99"/>
      <c r="BR39" s="99"/>
      <c r="BS39" s="99"/>
      <c r="BT39" s="99"/>
      <c r="BU39" s="99"/>
      <c r="BV39" s="99"/>
      <c r="BW39" s="99"/>
      <c r="BX39" s="99"/>
      <c r="BY39" s="99"/>
      <c r="BZ39" s="99"/>
      <c r="CA39" s="99"/>
      <c r="CB39" s="99"/>
      <c r="CC39" s="99"/>
      <c r="CD39" s="99"/>
      <c r="CE39" s="99"/>
    </row>
    <row r="40" spans="1:83" ht="55.5" customHeight="1" x14ac:dyDescent="0.25">
      <c r="A40" s="541" t="s">
        <v>979</v>
      </c>
      <c r="B40" s="541"/>
      <c r="C40" s="541"/>
      <c r="D40" s="541"/>
      <c r="E40" s="541"/>
      <c r="F40" s="541"/>
      <c r="G40" s="541"/>
      <c r="H40" s="541"/>
      <c r="I40" s="541"/>
      <c r="J40" s="541"/>
      <c r="K40" s="541"/>
      <c r="L40" s="541"/>
      <c r="M40" s="269"/>
      <c r="N40" s="269"/>
      <c r="O40" s="100"/>
      <c r="P40" s="100"/>
      <c r="Q40" s="100"/>
      <c r="BG40" s="99"/>
      <c r="BH40" s="99"/>
      <c r="BI40" s="99"/>
      <c r="BJ40" s="99"/>
      <c r="BK40" s="100"/>
      <c r="BL40" s="100"/>
      <c r="BM40" s="99"/>
      <c r="BN40" s="99"/>
      <c r="BO40" s="99"/>
      <c r="BP40" s="99"/>
      <c r="BQ40" s="99"/>
      <c r="BR40" s="99"/>
      <c r="BS40" s="99"/>
      <c r="BT40" s="99"/>
      <c r="BU40" s="99"/>
      <c r="BV40" s="99"/>
      <c r="BW40" s="99"/>
      <c r="BX40" s="99"/>
      <c r="BY40" s="99"/>
      <c r="BZ40" s="99"/>
      <c r="CA40" s="99"/>
      <c r="CB40" s="99"/>
      <c r="CC40" s="99"/>
      <c r="CD40" s="99"/>
      <c r="CE40" s="99"/>
    </row>
    <row r="41" spans="1:83" ht="24.6" customHeight="1" x14ac:dyDescent="0.25">
      <c r="A41" s="270" t="s">
        <v>991</v>
      </c>
      <c r="B41" s="314"/>
      <c r="C41" s="314" t="s">
        <v>342</v>
      </c>
      <c r="D41" s="314"/>
      <c r="E41" s="314"/>
      <c r="F41" s="314"/>
      <c r="G41" s="314"/>
      <c r="H41" s="314"/>
      <c r="I41" s="314"/>
      <c r="J41" s="314"/>
      <c r="K41" s="314"/>
      <c r="L41" s="314"/>
      <c r="M41" s="100"/>
      <c r="N41" s="100"/>
      <c r="O41" s="100"/>
      <c r="P41" s="100"/>
      <c r="Q41" s="100"/>
      <c r="V41" s="99">
        <v>5.4</v>
      </c>
      <c r="BG41" s="99"/>
      <c r="BH41" s="99"/>
      <c r="BI41" s="99"/>
      <c r="BJ41" s="99"/>
      <c r="BK41" s="100"/>
      <c r="BL41" s="100"/>
      <c r="BM41" s="99"/>
      <c r="BN41" s="99"/>
      <c r="BO41" s="99"/>
      <c r="BP41" s="99"/>
      <c r="BQ41" s="99"/>
      <c r="BR41" s="99"/>
      <c r="BS41" s="99"/>
      <c r="BT41" s="99"/>
      <c r="BU41" s="99"/>
      <c r="BV41" s="99"/>
      <c r="BW41" s="99"/>
      <c r="BX41" s="99"/>
      <c r="BY41" s="99"/>
      <c r="BZ41" s="99"/>
      <c r="CA41" s="99"/>
      <c r="CB41" s="99"/>
      <c r="CC41" s="99"/>
      <c r="CD41" s="99"/>
      <c r="CE41" s="99"/>
    </row>
    <row r="42" spans="1:83" ht="24.6" customHeight="1" x14ac:dyDescent="0.25">
      <c r="A42" s="694" t="s">
        <v>500</v>
      </c>
      <c r="B42" s="694"/>
      <c r="C42" s="694"/>
      <c r="D42" s="694"/>
      <c r="E42" s="694"/>
      <c r="F42" s="694"/>
      <c r="G42" s="694"/>
      <c r="H42" s="694"/>
      <c r="I42" s="694"/>
      <c r="J42" s="694"/>
      <c r="K42" s="694"/>
      <c r="L42" s="694"/>
      <c r="M42" s="100"/>
      <c r="N42" s="100"/>
      <c r="O42" s="100"/>
      <c r="P42" s="100"/>
      <c r="Q42" s="100"/>
      <c r="U42" s="279" t="s">
        <v>98</v>
      </c>
      <c r="V42" s="453">
        <f>10^(V41-V36)</f>
        <v>1905.4607179632501</v>
      </c>
      <c r="W42" s="395">
        <f>(N($I$20)+N($K$20))/($T$18+$U$18)*61.5*3.785/$V$15</f>
        <v>24.6</v>
      </c>
      <c r="X42" s="395">
        <f>(N($I$20)+N($K$20))/($T$18+$U$18)*147.43*3.785/$V$15</f>
        <v>58.972000000000008</v>
      </c>
      <c r="Y42" s="395">
        <f>W42+W46+W47+W48</f>
        <v>81.84</v>
      </c>
      <c r="Z42" s="395">
        <f>(N($I$20))/($T$18)*61.5*3.785/$V$15</f>
        <v>31.9348623853211</v>
      </c>
      <c r="AA42" s="395">
        <f>(N($I$20))/($T$18)*147.43*3.785/$V$15</f>
        <v>76.555394495412841</v>
      </c>
      <c r="AB42" s="395">
        <f>Z42+Z46+Z47+Z48</f>
        <v>106.24183486238532</v>
      </c>
      <c r="AC42" s="99" t="s">
        <v>539</v>
      </c>
      <c r="AF42" s="279" t="s">
        <v>98</v>
      </c>
      <c r="AG42" s="453">
        <f>10^(V41-AP35)</f>
        <v>1905.4607179632501</v>
      </c>
      <c r="BG42" s="100"/>
      <c r="BH42" s="100"/>
      <c r="BI42" s="100"/>
      <c r="BJ42" s="100"/>
      <c r="BK42" s="100"/>
      <c r="BL42" s="100"/>
      <c r="BM42" s="99"/>
      <c r="BN42" s="99"/>
      <c r="BO42" s="99"/>
      <c r="BP42" s="99"/>
      <c r="BQ42" s="99"/>
      <c r="BR42" s="99"/>
      <c r="BS42" s="99"/>
      <c r="BT42" s="99"/>
      <c r="BU42" s="99"/>
      <c r="BV42" s="99"/>
      <c r="BW42" s="99"/>
      <c r="BX42" s="99"/>
      <c r="BY42" s="99"/>
      <c r="BZ42" s="99"/>
      <c r="CA42" s="99"/>
      <c r="CB42" s="99"/>
      <c r="CC42" s="99"/>
      <c r="CD42" s="99"/>
      <c r="CE42" s="99"/>
    </row>
    <row r="43" spans="1:83" ht="28.15" customHeight="1" x14ac:dyDescent="0.2">
      <c r="B43" s="29" t="s">
        <v>212</v>
      </c>
      <c r="C43" s="29" t="s">
        <v>119</v>
      </c>
      <c r="D43" s="29" t="s">
        <v>118</v>
      </c>
      <c r="E43" s="29" t="s">
        <v>120</v>
      </c>
      <c r="F43" s="29" t="s">
        <v>121</v>
      </c>
      <c r="G43" s="29" t="s">
        <v>122</v>
      </c>
      <c r="H43" s="29" t="s">
        <v>123</v>
      </c>
      <c r="I43" s="29" t="s">
        <v>125</v>
      </c>
      <c r="J43" s="29" t="s">
        <v>126</v>
      </c>
      <c r="K43" s="30" t="s">
        <v>127</v>
      </c>
      <c r="L43" s="29" t="s">
        <v>174</v>
      </c>
      <c r="M43" s="29" t="s">
        <v>175</v>
      </c>
      <c r="N43" s="29" t="s">
        <v>293</v>
      </c>
      <c r="O43" s="684" t="s">
        <v>471</v>
      </c>
      <c r="P43" s="685"/>
      <c r="Q43" s="685"/>
      <c r="R43" s="685"/>
      <c r="S43" s="686"/>
      <c r="T43" s="454"/>
      <c r="U43" s="279" t="s">
        <v>99</v>
      </c>
      <c r="V43" s="455">
        <f>10^(V41-W36)</f>
        <v>1.5848931924611138E-2</v>
      </c>
      <c r="W43" s="395">
        <f>(N($I$22)+N($K$22))/($T$18+$U$18)*26.05*3.785/$V$15</f>
        <v>0</v>
      </c>
      <c r="X43" s="395">
        <f>(N($I$22)+N($K$22))/($T$18+$U$18)*102.96*3.785/$V$15</f>
        <v>0</v>
      </c>
      <c r="Y43" s="395">
        <f>W43+W49</f>
        <v>3.157</v>
      </c>
      <c r="Z43" s="395">
        <f>(N($I$22))/($T$18)*26.05*3.785/$V$15</f>
        <v>0</v>
      </c>
      <c r="AA43" s="395">
        <f>(N($I$22))/($T$18)*102.96*3.785/$V$15</f>
        <v>0</v>
      </c>
      <c r="AB43" s="395">
        <f>Z43+Z49</f>
        <v>4.0983073394495415</v>
      </c>
      <c r="AC43" s="99" t="s">
        <v>442</v>
      </c>
      <c r="AF43" s="279" t="s">
        <v>99</v>
      </c>
      <c r="AG43" s="455">
        <f>10^(V41-AQ35)</f>
        <v>1.5848931924611138E-2</v>
      </c>
      <c r="AH43" s="99">
        <v>175</v>
      </c>
      <c r="AI43" s="99">
        <v>400</v>
      </c>
      <c r="AJ43" s="99">
        <v>1000</v>
      </c>
      <c r="AK43" s="99">
        <v>150</v>
      </c>
      <c r="AL43" s="99">
        <v>600</v>
      </c>
      <c r="AM43" s="99">
        <v>100</v>
      </c>
      <c r="BG43" s="100"/>
      <c r="BH43" s="100"/>
      <c r="BI43" s="100"/>
      <c r="BJ43" s="100"/>
      <c r="BK43" s="100"/>
      <c r="BL43" s="100"/>
      <c r="BM43" s="99"/>
      <c r="BN43" s="99"/>
      <c r="BO43" s="99"/>
      <c r="BP43" s="99"/>
      <c r="BQ43" s="99"/>
      <c r="BR43" s="99"/>
      <c r="BS43" s="99"/>
      <c r="BT43" s="99"/>
      <c r="BU43" s="99"/>
      <c r="BV43" s="99"/>
      <c r="BW43" s="99"/>
      <c r="BX43" s="99"/>
      <c r="BY43" s="99"/>
      <c r="BZ43" s="99"/>
      <c r="CA43" s="99"/>
      <c r="CB43" s="99"/>
      <c r="CC43" s="99"/>
      <c r="CD43" s="99"/>
      <c r="CE43" s="99"/>
    </row>
    <row r="44" spans="1:83" ht="21.4" customHeight="1" x14ac:dyDescent="0.2">
      <c r="A44" s="19">
        <v>1</v>
      </c>
      <c r="B44" s="7" t="s">
        <v>156</v>
      </c>
      <c r="C44" s="8">
        <v>275</v>
      </c>
      <c r="D44" s="8">
        <v>40</v>
      </c>
      <c r="E44" s="8">
        <v>25</v>
      </c>
      <c r="F44" s="8">
        <v>610</v>
      </c>
      <c r="G44" s="8">
        <v>35</v>
      </c>
      <c r="H44" s="152">
        <v>270</v>
      </c>
      <c r="I44" s="4">
        <f t="shared" ref="I44:I107" si="4">(C44/20.05)+(D44/12.15)+(E44/23)</f>
        <v>18.094848314889997</v>
      </c>
      <c r="J44" s="6">
        <f t="shared" ref="J44:J107" si="5">(H44/61)+(F44/48)+(G44/35.45)</f>
        <v>18.121868906410167</v>
      </c>
      <c r="K44" s="5">
        <f>((C44/20)+(D44/12.15))*50</f>
        <v>852.10905349794234</v>
      </c>
      <c r="L44" s="26">
        <f t="shared" ref="L44:L107" si="6">H44*(50/61)*(1+(2*10^-4))</f>
        <v>221.35573770491803</v>
      </c>
      <c r="M44" s="5">
        <f>(L44-((C44*0.7143)+(D44*0.5879)))</f>
        <v>1.4072377049180318</v>
      </c>
      <c r="N44" s="4">
        <f t="shared" ref="N44:N75" si="7">IF(G44&lt;=0,0,F44/G44)</f>
        <v>17.428571428571427</v>
      </c>
      <c r="O44" s="596" t="s">
        <v>472</v>
      </c>
      <c r="P44" s="597"/>
      <c r="Q44" s="597"/>
      <c r="R44" s="597"/>
      <c r="S44" s="598"/>
      <c r="T44" s="456"/>
      <c r="U44" s="279" t="s">
        <v>100</v>
      </c>
      <c r="V44" s="455">
        <f>10^(V41-X36)</f>
        <v>9.120108393559095E-8</v>
      </c>
      <c r="W44" s="395">
        <f>(N($I$24)+N($K$24))/($T$18+$U$18)*103.94*3.785/$V$15</f>
        <v>0</v>
      </c>
      <c r="X44" s="395">
        <f>(N($I$24)+N($K$24))/($T$18+$U$18)*160.26*3.785/$V$15</f>
        <v>0</v>
      </c>
      <c r="Y44" s="395">
        <f>W44+W45</f>
        <v>0</v>
      </c>
      <c r="Z44" s="395">
        <f>(N($I$24))/($T$18)*103.94*3.785/$V$15</f>
        <v>0</v>
      </c>
      <c r="AA44" s="395">
        <f>(N($I$24))/($T$18)*160.26*3.785/$V$15</f>
        <v>0</v>
      </c>
      <c r="AB44" s="395">
        <f>Z44+Z45</f>
        <v>0</v>
      </c>
      <c r="AC44" s="99" t="s">
        <v>538</v>
      </c>
      <c r="AF44" s="279" t="s">
        <v>100</v>
      </c>
      <c r="AG44" s="455">
        <f>10^(V41-AR35)</f>
        <v>9.120108393559095E-8</v>
      </c>
      <c r="AH44" s="457">
        <f>IF(ISNUMBER($M$31),IF($AF$12=1,$M$31*$T$18,0),0)</f>
        <v>0</v>
      </c>
      <c r="AI44" s="457">
        <f>IF(ISNUMBER($M$31),IF($AF$12=3,$M$31*$T$18,0),0)</f>
        <v>0</v>
      </c>
      <c r="AJ44" s="457">
        <f>IF(ISNUMBER($M$31),IF($AF$12=4,$M$31*$T$18,0),0)</f>
        <v>1030.569662762364</v>
      </c>
      <c r="AK44" s="457">
        <f>IF(ISNUMBER($M$31),IF($AF$12=6,$M$31*$T$18,0),0)</f>
        <v>0</v>
      </c>
      <c r="AL44" s="457">
        <f>IF(ISNUMBER($M$31),IF($AF$12=7,$M$31*$T$18,0),0)</f>
        <v>0</v>
      </c>
      <c r="AM44" s="457">
        <f>IF(ISNUMBER($M$31),IF($AF$12=8,$M$31*$T$18,0),0)</f>
        <v>0</v>
      </c>
      <c r="BG44" s="100"/>
      <c r="BH44" s="100"/>
      <c r="BI44" s="100"/>
      <c r="BJ44" s="100"/>
      <c r="BK44" s="100"/>
      <c r="BL44" s="100"/>
      <c r="BM44" s="99"/>
      <c r="BN44" s="99"/>
      <c r="BO44" s="99"/>
      <c r="BP44" s="99"/>
      <c r="BQ44" s="99"/>
      <c r="BR44" s="99"/>
      <c r="BS44" s="99"/>
      <c r="BT44" s="99"/>
      <c r="BU44" s="99"/>
      <c r="BV44" s="99"/>
      <c r="BW44" s="99"/>
      <c r="BX44" s="99"/>
      <c r="BY44" s="99"/>
      <c r="BZ44" s="99"/>
      <c r="CA44" s="99"/>
      <c r="CB44" s="99"/>
      <c r="CC44" s="99"/>
      <c r="CD44" s="99"/>
      <c r="CE44" s="99"/>
    </row>
    <row r="45" spans="1:83" ht="21.4" customHeight="1" x14ac:dyDescent="0.2">
      <c r="A45" s="19">
        <v>2</v>
      </c>
      <c r="B45" s="7" t="s">
        <v>157</v>
      </c>
      <c r="C45" s="8">
        <v>230</v>
      </c>
      <c r="D45" s="8">
        <v>15</v>
      </c>
      <c r="E45" s="8">
        <v>40</v>
      </c>
      <c r="F45" s="8">
        <v>330</v>
      </c>
      <c r="G45" s="8">
        <v>130</v>
      </c>
      <c r="H45" s="8">
        <v>235</v>
      </c>
      <c r="I45" s="4">
        <f t="shared" si="4"/>
        <v>14.445020031777775</v>
      </c>
      <c r="J45" s="6">
        <f t="shared" si="5"/>
        <v>14.39459582880529</v>
      </c>
      <c r="K45" s="5">
        <f>((C45/20)+(D45/12.15))*50</f>
        <v>636.72839506172841</v>
      </c>
      <c r="L45" s="26">
        <f t="shared" si="6"/>
        <v>192.66147540983604</v>
      </c>
      <c r="M45" s="5">
        <f>(L45-((C45*0.7143)+(D45*0.5879)))</f>
        <v>19.553975409836028</v>
      </c>
      <c r="N45" s="4">
        <f t="shared" si="7"/>
        <v>2.5384615384615383</v>
      </c>
      <c r="O45" s="596" t="s">
        <v>983</v>
      </c>
      <c r="P45" s="597"/>
      <c r="Q45" s="597"/>
      <c r="R45" s="597"/>
      <c r="S45" s="598"/>
      <c r="T45" s="456"/>
      <c r="U45" s="279" t="s">
        <v>101</v>
      </c>
      <c r="V45" s="455">
        <f>1/(1+V42+(V42*V43)+(V42*V43*V44))</f>
        <v>5.1635283278869811E-4</v>
      </c>
      <c r="W45" s="395">
        <f>(N($I$27))/($T$18+$U$18)*72.31*3.785/$V$15</f>
        <v>0</v>
      </c>
      <c r="X45" s="395">
        <f>(N($I$27))/($T$18+$U$18)*191.88*3.785/$V$15</f>
        <v>0</v>
      </c>
      <c r="Y45" s="395">
        <f>((((X42+X43+$F$31+$F$33)*V15*T18)+(('2. Sparge Acidification'!B22)*V15*U18))/((T18+U18)*V15))</f>
        <v>45.427194346289753</v>
      </c>
      <c r="Z45" s="395">
        <f>(N($I$25))/($T$18)*72.31*3.785/$V$15</f>
        <v>0</v>
      </c>
      <c r="AA45" s="395">
        <f ca="1">(N($I$25))/($T$18)*(191.88*(2-((0.0349*B17^4)-(0.5697*B17^3)+(3.4089*B17^2)-(8.7207*B17)+(8.8231))))*3.785/$V$15</f>
        <v>0</v>
      </c>
      <c r="AB45" s="395">
        <f>(AA42+AA43+$F$31+$F$33)</f>
        <v>76.555394495412841</v>
      </c>
      <c r="AC45" s="99" t="s">
        <v>439</v>
      </c>
      <c r="AF45" s="279" t="s">
        <v>101</v>
      </c>
      <c r="AG45" s="455">
        <f>1/(1+AG42+(AG42*AG43)+(AG42*AG43*AG44))</f>
        <v>5.1635283278869811E-4</v>
      </c>
      <c r="AH45" s="457">
        <f>IF(ISNUMBER($M$33),IF($AG$12=1,$M$33*$T$18,0),0)</f>
        <v>0</v>
      </c>
      <c r="AI45" s="457">
        <f>IF(ISNUMBER($M$33),IF($AG$12=3,$M$33*$T$18,0),0)</f>
        <v>0</v>
      </c>
      <c r="AJ45" s="457">
        <f>IF(ISNUMBER($M$33),IF($AG$12=4,$M$33*$T$18,0),0)</f>
        <v>0</v>
      </c>
      <c r="AK45" s="457">
        <f>IF(ISNUMBER($M$33),IF($AG$12=6,$M$33*$T$18,0),0)</f>
        <v>0</v>
      </c>
      <c r="AL45" s="457">
        <f>IF(ISNUMBER($M$33),IF($AG$12=7,$M$33*$T$18,0),0)</f>
        <v>0</v>
      </c>
      <c r="AM45" s="457">
        <f>IF(ISNUMBER($M$33),IF($AG$12=8,$M$33*$T$18,0),0)</f>
        <v>0</v>
      </c>
      <c r="BG45" s="100"/>
      <c r="BH45" s="100"/>
      <c r="BI45" s="100"/>
      <c r="BJ45" s="100"/>
      <c r="BK45" s="100"/>
      <c r="BL45" s="100"/>
      <c r="BM45" s="99"/>
      <c r="BN45" s="99"/>
      <c r="BO45" s="99"/>
      <c r="BP45" s="99"/>
      <c r="BQ45" s="99"/>
      <c r="BR45" s="99"/>
      <c r="BS45" s="99"/>
      <c r="BT45" s="99"/>
      <c r="BU45" s="99"/>
      <c r="BV45" s="99"/>
      <c r="BW45" s="99"/>
      <c r="BX45" s="99"/>
      <c r="BY45" s="99"/>
      <c r="BZ45" s="99"/>
      <c r="CA45" s="99"/>
      <c r="CB45" s="99"/>
      <c r="CC45" s="99"/>
      <c r="CD45" s="99"/>
      <c r="CE45" s="99"/>
    </row>
    <row r="46" spans="1:83" ht="21.4" customHeight="1" x14ac:dyDescent="0.2">
      <c r="A46" s="19">
        <v>3</v>
      </c>
      <c r="B46" s="7" t="s">
        <v>158</v>
      </c>
      <c r="C46" s="8">
        <v>120</v>
      </c>
      <c r="D46" s="8">
        <v>4</v>
      </c>
      <c r="E46" s="8">
        <v>12</v>
      </c>
      <c r="F46" s="8">
        <v>55</v>
      </c>
      <c r="G46" s="8">
        <v>19</v>
      </c>
      <c r="H46" s="8">
        <v>315</v>
      </c>
      <c r="I46" s="4">
        <f t="shared" si="4"/>
        <v>6.8359946439144572</v>
      </c>
      <c r="J46" s="6">
        <f t="shared" si="5"/>
        <v>6.845733909069188</v>
      </c>
      <c r="K46" s="5">
        <f>((C46/20)+(D46/12.15))*50</f>
        <v>316.46090534979425</v>
      </c>
      <c r="L46" s="26">
        <f t="shared" si="6"/>
        <v>258.24836065573771</v>
      </c>
      <c r="M46" s="5">
        <f>(L46-((C46*0.7143)+(D46*0.5879)))</f>
        <v>170.18076065573769</v>
      </c>
      <c r="N46" s="4">
        <f t="shared" si="7"/>
        <v>2.8947368421052633</v>
      </c>
      <c r="O46" s="596" t="s">
        <v>475</v>
      </c>
      <c r="P46" s="597"/>
      <c r="Q46" s="597"/>
      <c r="R46" s="597"/>
      <c r="S46" s="598"/>
      <c r="T46" s="456"/>
      <c r="U46" s="279" t="s">
        <v>102</v>
      </c>
      <c r="V46" s="455">
        <f>V45</f>
        <v>5.1635283278869811E-4</v>
      </c>
      <c r="W46" s="395">
        <f>(N($I$21)+N($K$21))/($T$18+$U$18)*IF(M21="liquid",(M22/100)*95.4*(3.785/V15),IF(M21="anhydrous",95.4,72.05)*3.785/$V$15)</f>
        <v>57.24</v>
      </c>
      <c r="X46" s="395">
        <f>(N($I$21)+N($K$21))/($T$18+$U$18)*IF(M21="liquid",(M22/100)*168.79*(3.785/V15),IF(M21="anhydrous",168.79,127.42)*(3.785/$V$15))</f>
        <v>101.27399999999999</v>
      </c>
      <c r="Y46" s="395">
        <f>((((X44+X46+X49+$G$31+$G$33)*V15*T18)+(('2. Sparge Acidification'!B23)*V15*U18))/((T18+U18)*V15))</f>
        <v>85.109356890459352</v>
      </c>
      <c r="Z46" s="395">
        <f>N($I$21)/($T$18)*IF(M21="liquid",(M22/100)*95.4*(3.785/$V$15),IF(M21="anhydrous",95.4,72.05)*(3.785/$V$15))</f>
        <v>74.306972477064221</v>
      </c>
      <c r="AA46" s="395">
        <f>(N($I$21))/($T$18)*IF(M21="liquid",(M22/100)*168.79*(3.785/$V$15),IF(M21="anhydrous",168.79,127.42)*(3.785/$V$15))</f>
        <v>131.47037614678899</v>
      </c>
      <c r="AB46" s="395">
        <f>(AA44+AA46+AA49+$G$31+$G$33)</f>
        <v>143.42907339449542</v>
      </c>
      <c r="AC46" s="99" t="s">
        <v>440</v>
      </c>
      <c r="AF46" s="279" t="s">
        <v>102</v>
      </c>
      <c r="AG46" s="455">
        <f>AG45</f>
        <v>5.1635283278869811E-4</v>
      </c>
      <c r="AH46" s="457">
        <f>IF(ISNUMBER($M$35),IF('2. Sparge Acidification'!$A$46=1,$M$35*$U$18,0),0)</f>
        <v>0</v>
      </c>
      <c r="AI46" s="457">
        <f>IF(ISNUMBER($M$35),IF('2. Sparge Acidification'!$A$46=3,$M$35*$U$18,0),0)</f>
        <v>0</v>
      </c>
      <c r="AJ46" s="457">
        <f>IF(ISNUMBER($M$35),IF('2. Sparge Acidification'!$A$46=4,$M$35*$U$18,0),0)</f>
        <v>40.368020259636033</v>
      </c>
      <c r="AK46" s="457">
        <f>IF(ISNUMBER($M$35),IF('2. Sparge Acidification'!$A$46=6,$M$35*$U$18,0),0)</f>
        <v>0</v>
      </c>
      <c r="AL46" s="457">
        <f>IF(ISNUMBER($M$35),IF('2. Sparge Acidification'!$A$46=7,$M$35*$U$18,0),0)</f>
        <v>0</v>
      </c>
      <c r="AM46" s="457">
        <f>IF(ISNUMBER($M$35),IF('2. Sparge Acidification'!$A$46=8,$M$35*$U$18,0),0)</f>
        <v>0</v>
      </c>
      <c r="BG46" s="100"/>
      <c r="BH46" s="100"/>
      <c r="BI46" s="100"/>
      <c r="BJ46" s="100"/>
      <c r="BK46" s="100"/>
      <c r="BL46" s="100"/>
      <c r="BM46" s="99"/>
      <c r="BN46" s="99"/>
      <c r="BO46" s="99"/>
      <c r="BP46" s="99"/>
      <c r="BQ46" s="99"/>
      <c r="BR46" s="99"/>
      <c r="BS46" s="99"/>
      <c r="BT46" s="99"/>
      <c r="BU46" s="99"/>
      <c r="BV46" s="99"/>
      <c r="BW46" s="99"/>
      <c r="BX46" s="99"/>
      <c r="BY46" s="99"/>
      <c r="BZ46" s="99"/>
      <c r="CA46" s="99"/>
      <c r="CB46" s="99"/>
      <c r="CC46" s="99"/>
      <c r="CD46" s="99"/>
      <c r="CE46" s="99"/>
    </row>
    <row r="47" spans="1:83" ht="21.4" customHeight="1" x14ac:dyDescent="0.2">
      <c r="A47" s="19">
        <v>4</v>
      </c>
      <c r="B47" s="7" t="s">
        <v>307</v>
      </c>
      <c r="C47" s="8">
        <v>43</v>
      </c>
      <c r="D47" s="8">
        <v>4</v>
      </c>
      <c r="E47" s="8">
        <v>12</v>
      </c>
      <c r="F47" s="8">
        <v>55</v>
      </c>
      <c r="G47" s="8">
        <v>19</v>
      </c>
      <c r="H47" s="8">
        <v>80</v>
      </c>
      <c r="I47" s="4">
        <f t="shared" si="4"/>
        <v>2.9955956414206923</v>
      </c>
      <c r="J47" s="6">
        <f t="shared" si="5"/>
        <v>2.9932748926757458</v>
      </c>
      <c r="K47" s="5">
        <f t="shared" ref="K47:K104" si="8">((C47/20)+(D47/12.15))*50</f>
        <v>123.96090534979423</v>
      </c>
      <c r="L47" s="26">
        <f t="shared" si="6"/>
        <v>65.586885245901641</v>
      </c>
      <c r="M47" s="5">
        <f t="shared" ref="M47:M104" si="9">(L47-((C47*0.7143)+(D47*0.5879)))</f>
        <v>32.520385245901636</v>
      </c>
      <c r="N47" s="4">
        <f t="shared" si="7"/>
        <v>2.8947368421052633</v>
      </c>
      <c r="O47" s="596" t="s">
        <v>473</v>
      </c>
      <c r="P47" s="597"/>
      <c r="Q47" s="597"/>
      <c r="R47" s="597"/>
      <c r="S47" s="598"/>
      <c r="T47" s="456"/>
      <c r="U47" s="279" t="s">
        <v>103</v>
      </c>
      <c r="V47" s="455">
        <f>V45*V42</f>
        <v>0.98389003948791076</v>
      </c>
      <c r="W47" s="395">
        <f>(N($I$25))/($T$18+$U$18)*105.8*3.785/$V$15</f>
        <v>0</v>
      </c>
      <c r="X47" s="395">
        <f>(N($I$25))/($T$18+$U$18)*322.27*3.785/$V$15</f>
        <v>0</v>
      </c>
      <c r="Y47" s="395">
        <f>X45+X47+X48</f>
        <v>0</v>
      </c>
      <c r="Z47" s="395">
        <f>(N($I$26))/($T$18)*105.8*3.785/$V$15</f>
        <v>0</v>
      </c>
      <c r="AA47" s="395">
        <f>(N($I$26))/($T$18)*322.27*3.785/$V$15</f>
        <v>0</v>
      </c>
      <c r="AB47" s="395">
        <f ca="1">AA45+AA47+AA48+$H$31+$H$33</f>
        <v>-59.738417305657379</v>
      </c>
      <c r="AC47" s="99" t="s">
        <v>444</v>
      </c>
      <c r="AF47" s="279" t="s">
        <v>103</v>
      </c>
      <c r="AG47" s="455">
        <f>AG45*AG42</f>
        <v>0.98389003948791076</v>
      </c>
      <c r="AH47" s="457">
        <f>IF(ISNUMBER($M$37),IF('2. Sparge Acidification'!$A$73=1,$M$37*$U$18,0),0)</f>
        <v>0</v>
      </c>
      <c r="AI47" s="457">
        <f>IF(ISNUMBER($M$37),IF('2. Sparge Acidification'!$A$73=3,$M$37*$U$18,0),0)</f>
        <v>0</v>
      </c>
      <c r="AJ47" s="457">
        <f>IF(ISNUMBER($M$37),IF('2. Sparge Acidification'!$A$73=4,$M$37*$U$18,0),0)</f>
        <v>0</v>
      </c>
      <c r="AK47" s="457">
        <f>IF(ISNUMBER($M$37),IF('2. Sparge Acidification'!$A$73=6,$M$37*$U$18,0),0)</f>
        <v>0</v>
      </c>
      <c r="AL47" s="457">
        <f>IF(ISNUMBER($M$37),IF('2. Sparge Acidification'!$A$73=7,$M$37*$U$18,0),0)</f>
        <v>0</v>
      </c>
      <c r="AM47" s="457">
        <f>IF(ISNUMBER($M$37),IF('2. Sparge Acidification'!$A$73=8,$M$37*$U$18,0),0)</f>
        <v>0</v>
      </c>
      <c r="BG47" s="100"/>
      <c r="BH47" s="100"/>
      <c r="BI47" s="100"/>
      <c r="BJ47" s="100"/>
      <c r="BK47" s="100"/>
      <c r="BL47" s="100"/>
      <c r="BM47" s="99"/>
      <c r="BN47" s="99"/>
      <c r="BO47" s="99"/>
      <c r="BP47" s="99"/>
      <c r="BQ47" s="99"/>
      <c r="BR47" s="99"/>
      <c r="BS47" s="99"/>
      <c r="BT47" s="99"/>
      <c r="BU47" s="99"/>
      <c r="BV47" s="99"/>
      <c r="BW47" s="99"/>
      <c r="BX47" s="99"/>
      <c r="BY47" s="99"/>
      <c r="BZ47" s="99"/>
      <c r="CA47" s="99"/>
      <c r="CB47" s="99"/>
      <c r="CC47" s="99"/>
      <c r="CD47" s="99"/>
      <c r="CE47" s="99"/>
    </row>
    <row r="48" spans="1:83" ht="21.4" customHeight="1" x14ac:dyDescent="0.2">
      <c r="A48" s="19">
        <v>5</v>
      </c>
      <c r="B48" s="7" t="s">
        <v>159</v>
      </c>
      <c r="C48" s="8">
        <v>100</v>
      </c>
      <c r="D48" s="8">
        <v>20</v>
      </c>
      <c r="E48" s="8">
        <v>55</v>
      </c>
      <c r="F48" s="8">
        <v>140</v>
      </c>
      <c r="G48" s="8">
        <v>50</v>
      </c>
      <c r="H48" s="8">
        <v>285</v>
      </c>
      <c r="I48" s="4">
        <f t="shared" si="4"/>
        <v>9.0249260548753369</v>
      </c>
      <c r="J48" s="6">
        <f t="shared" si="5"/>
        <v>8.9992350497506681</v>
      </c>
      <c r="K48" s="5">
        <f t="shared" si="8"/>
        <v>332.30452674897117</v>
      </c>
      <c r="L48" s="26">
        <f t="shared" si="6"/>
        <v>233.65327868852461</v>
      </c>
      <c r="M48" s="5">
        <f t="shared" si="9"/>
        <v>150.46527868852462</v>
      </c>
      <c r="N48" s="4">
        <f t="shared" si="7"/>
        <v>2.8</v>
      </c>
      <c r="O48" s="596" t="s">
        <v>476</v>
      </c>
      <c r="P48" s="597"/>
      <c r="Q48" s="597"/>
      <c r="R48" s="597"/>
      <c r="S48" s="598"/>
      <c r="T48" s="456"/>
      <c r="U48" s="279" t="s">
        <v>104</v>
      </c>
      <c r="V48" s="455">
        <f>V42*V43*V45</f>
        <v>1.5593606257146862E-2</v>
      </c>
      <c r="W48" s="395">
        <f>(N($I$26))/($T$18+$U$18)*142.93*3.785/$V$15</f>
        <v>0</v>
      </c>
      <c r="X48" s="395">
        <f>(N($I$26))/($T$18+$U$18)*434.75*3.785/$V$15</f>
        <v>0</v>
      </c>
      <c r="Y48" s="395"/>
      <c r="Z48" s="395">
        <f>(N($I$27))/($T$18)*142.93*3.785/$V$15</f>
        <v>0</v>
      </c>
      <c r="AA48" s="395">
        <f>(N($I$27))/($T$18)*434.75*3.785/$V$15</f>
        <v>0</v>
      </c>
      <c r="AB48" s="395"/>
      <c r="AF48" s="279" t="s">
        <v>104</v>
      </c>
      <c r="AG48" s="455">
        <f>AG42*AG43*AG45</f>
        <v>1.5593606257146862E-2</v>
      </c>
      <c r="AH48" s="457">
        <f t="shared" ref="AH48:AM48" si="10">SUM(AH44:AH47)/($T$18+$U$18)</f>
        <v>0</v>
      </c>
      <c r="AI48" s="457">
        <f>(AI56+SUM(AI44:AI47))/($T$18+$U$18)</f>
        <v>0</v>
      </c>
      <c r="AJ48" s="457">
        <f t="shared" si="10"/>
        <v>75.684641909681986</v>
      </c>
      <c r="AK48" s="457">
        <f t="shared" si="10"/>
        <v>0</v>
      </c>
      <c r="AL48" s="457">
        <f t="shared" si="10"/>
        <v>0</v>
      </c>
      <c r="AM48" s="457">
        <f t="shared" si="10"/>
        <v>0</v>
      </c>
      <c r="BG48" s="100"/>
      <c r="BH48" s="100"/>
      <c r="BI48" s="100"/>
      <c r="BJ48" s="100"/>
      <c r="BK48" s="100"/>
      <c r="BL48" s="100"/>
      <c r="BM48" s="99"/>
      <c r="BN48" s="99"/>
      <c r="BO48" s="99"/>
      <c r="BP48" s="99"/>
      <c r="BQ48" s="99"/>
      <c r="BR48" s="99"/>
      <c r="BS48" s="99"/>
      <c r="BT48" s="99"/>
      <c r="BU48" s="99"/>
      <c r="BV48" s="99"/>
      <c r="BW48" s="99"/>
      <c r="BX48" s="99"/>
      <c r="BY48" s="99"/>
      <c r="BZ48" s="99"/>
      <c r="CA48" s="99"/>
      <c r="CB48" s="99"/>
      <c r="CC48" s="99"/>
      <c r="CD48" s="99"/>
      <c r="CE48" s="99"/>
    </row>
    <row r="49" spans="1:83" ht="21.4" customHeight="1" x14ac:dyDescent="0.2">
      <c r="A49" s="19">
        <v>6</v>
      </c>
      <c r="B49" s="7" t="s">
        <v>308</v>
      </c>
      <c r="C49" s="8">
        <v>33</v>
      </c>
      <c r="D49" s="8">
        <v>20</v>
      </c>
      <c r="E49" s="8">
        <v>55</v>
      </c>
      <c r="F49" s="8">
        <v>140</v>
      </c>
      <c r="G49" s="8">
        <v>50</v>
      </c>
      <c r="H49" s="8">
        <v>80</v>
      </c>
      <c r="I49" s="4">
        <f t="shared" si="4"/>
        <v>5.6832801695885529</v>
      </c>
      <c r="J49" s="6">
        <f t="shared" si="5"/>
        <v>5.6385793120457501</v>
      </c>
      <c r="K49" s="5">
        <f t="shared" si="8"/>
        <v>164.8045267489712</v>
      </c>
      <c r="L49" s="26">
        <f t="shared" si="6"/>
        <v>65.586885245901641</v>
      </c>
      <c r="M49" s="5">
        <f t="shared" si="9"/>
        <v>30.256985245901639</v>
      </c>
      <c r="N49" s="4">
        <f t="shared" si="7"/>
        <v>2.8</v>
      </c>
      <c r="O49" s="596" t="s">
        <v>473</v>
      </c>
      <c r="P49" s="597"/>
      <c r="Q49" s="597"/>
      <c r="R49" s="597"/>
      <c r="S49" s="598"/>
      <c r="T49" s="456"/>
      <c r="U49" s="279" t="s">
        <v>105</v>
      </c>
      <c r="V49" s="455">
        <f>V42*V43*V44*V45</f>
        <v>1.4221537931166073E-9</v>
      </c>
      <c r="W49" s="395">
        <f>(N($I$23)+N($K$23))/($T$18+$U$18)*31.57*3.785/$V$15</f>
        <v>3.157</v>
      </c>
      <c r="X49" s="395">
        <f>(N($I$23)+N($K$23))/($T$18+$U$18)*92.12*3.785/$V$15</f>
        <v>9.2120000000000015</v>
      </c>
      <c r="Y49" s="395"/>
      <c r="Z49" s="395">
        <f>(N($I$23))/($T$18)*31.57*3.785/$V$15</f>
        <v>4.0983073394495415</v>
      </c>
      <c r="AA49" s="395">
        <f>(N($I$23))/($T$18)*92.12*3.785/$V$15</f>
        <v>11.958697247706423</v>
      </c>
      <c r="AB49" s="395"/>
      <c r="AF49" s="279" t="s">
        <v>105</v>
      </c>
      <c r="AG49" s="455">
        <f>AG42*AG43*AG44*AG45</f>
        <v>1.4221537931166073E-9</v>
      </c>
      <c r="AH49" s="99" t="s">
        <v>575</v>
      </c>
      <c r="AI49" s="99" t="s">
        <v>576</v>
      </c>
      <c r="AJ49" s="99" t="s">
        <v>577</v>
      </c>
      <c r="AK49" s="99" t="s">
        <v>578</v>
      </c>
      <c r="AL49" s="99" t="s">
        <v>579</v>
      </c>
      <c r="AM49" s="99" t="s">
        <v>580</v>
      </c>
      <c r="BG49" s="100"/>
      <c r="BH49" s="100"/>
      <c r="BI49" s="100"/>
      <c r="BJ49" s="100"/>
      <c r="BK49" s="100"/>
      <c r="BL49" s="100"/>
      <c r="BM49" s="99"/>
      <c r="BN49" s="99"/>
      <c r="BO49" s="99"/>
      <c r="BP49" s="99"/>
      <c r="BQ49" s="99"/>
      <c r="BR49" s="99"/>
      <c r="BS49" s="99"/>
      <c r="BT49" s="99"/>
      <c r="BU49" s="99"/>
      <c r="BV49" s="99"/>
      <c r="BW49" s="99"/>
      <c r="BX49" s="99"/>
      <c r="BY49" s="99"/>
      <c r="BZ49" s="99"/>
      <c r="CA49" s="99"/>
      <c r="CB49" s="99"/>
      <c r="CC49" s="99"/>
      <c r="CD49" s="99"/>
      <c r="CE49" s="99"/>
    </row>
    <row r="50" spans="1:83" ht="21.4" customHeight="1" x14ac:dyDescent="0.2">
      <c r="A50" s="19">
        <v>7</v>
      </c>
      <c r="B50" s="7" t="s">
        <v>160</v>
      </c>
      <c r="C50" s="8">
        <v>70</v>
      </c>
      <c r="D50" s="8">
        <v>6</v>
      </c>
      <c r="E50" s="8">
        <v>15</v>
      </c>
      <c r="F50" s="8">
        <v>40</v>
      </c>
      <c r="G50" s="8">
        <v>38</v>
      </c>
      <c r="H50" s="8">
        <v>166</v>
      </c>
      <c r="I50" s="4">
        <f t="shared" si="4"/>
        <v>4.6372728939861831</v>
      </c>
      <c r="J50" s="6">
        <f t="shared" si="5"/>
        <v>4.6265771077558631</v>
      </c>
      <c r="K50" s="5">
        <f t="shared" si="8"/>
        <v>199.69135802469137</v>
      </c>
      <c r="L50" s="26">
        <f t="shared" si="6"/>
        <v>136.09278688524589</v>
      </c>
      <c r="M50" s="5">
        <f t="shared" si="9"/>
        <v>82.564386885245881</v>
      </c>
      <c r="N50" s="4">
        <f t="shared" si="7"/>
        <v>1.0526315789473684</v>
      </c>
      <c r="O50" s="596" t="s">
        <v>477</v>
      </c>
      <c r="P50" s="597"/>
      <c r="Q50" s="597"/>
      <c r="R50" s="597"/>
      <c r="S50" s="598"/>
      <c r="T50" s="456"/>
      <c r="U50" s="279" t="s">
        <v>106</v>
      </c>
      <c r="V50" s="455">
        <f>V47+(2*V48)+(3*V49)</f>
        <v>1.0150772562686659</v>
      </c>
      <c r="AF50" s="279" t="s">
        <v>106</v>
      </c>
      <c r="AG50" s="455">
        <f>AG47+(2*AG48)+(3*AG49)</f>
        <v>1.0150772562686659</v>
      </c>
      <c r="BG50" s="100"/>
      <c r="BH50" s="100"/>
      <c r="BI50" s="100"/>
      <c r="BJ50" s="100"/>
      <c r="BK50" s="100"/>
      <c r="BL50" s="100"/>
      <c r="BM50" s="99"/>
      <c r="BN50" s="99"/>
      <c r="BO50" s="99"/>
      <c r="BP50" s="99"/>
      <c r="BQ50" s="99"/>
      <c r="BR50" s="99"/>
      <c r="BS50" s="99"/>
      <c r="BT50" s="99"/>
      <c r="BU50" s="99"/>
      <c r="BV50" s="99"/>
      <c r="BW50" s="99"/>
      <c r="BX50" s="99"/>
      <c r="BY50" s="99"/>
      <c r="BZ50" s="99"/>
      <c r="CA50" s="99"/>
      <c r="CB50" s="99"/>
      <c r="CC50" s="99"/>
      <c r="CD50" s="99"/>
      <c r="CE50" s="99"/>
    </row>
    <row r="51" spans="1:83" ht="21.4" customHeight="1" x14ac:dyDescent="0.2">
      <c r="A51" s="19">
        <v>8</v>
      </c>
      <c r="B51" s="7" t="s">
        <v>309</v>
      </c>
      <c r="C51" s="8">
        <v>42</v>
      </c>
      <c r="D51" s="8">
        <v>6</v>
      </c>
      <c r="E51" s="8">
        <v>15</v>
      </c>
      <c r="F51" s="8">
        <v>40</v>
      </c>
      <c r="G51" s="8">
        <v>38</v>
      </c>
      <c r="H51" s="8">
        <v>80</v>
      </c>
      <c r="I51" s="4">
        <f t="shared" si="4"/>
        <v>3.240764165806632</v>
      </c>
      <c r="J51" s="6">
        <f t="shared" si="5"/>
        <v>3.2167410421820923</v>
      </c>
      <c r="K51" s="5">
        <f t="shared" si="8"/>
        <v>129.69135802469137</v>
      </c>
      <c r="L51" s="26">
        <f t="shared" si="6"/>
        <v>65.586885245901641</v>
      </c>
      <c r="M51" s="5">
        <f t="shared" si="9"/>
        <v>32.058885245901635</v>
      </c>
      <c r="N51" s="4">
        <f t="shared" si="7"/>
        <v>1.0526315789473684</v>
      </c>
      <c r="O51" s="596" t="s">
        <v>473</v>
      </c>
      <c r="P51" s="597"/>
      <c r="Q51" s="597"/>
      <c r="R51" s="597"/>
      <c r="S51" s="598"/>
      <c r="T51" s="456"/>
      <c r="U51" s="279"/>
      <c r="V51" s="402"/>
      <c r="AH51" s="457">
        <f>LARGE(AH48:AM48,1)</f>
        <v>75.684641909681986</v>
      </c>
      <c r="AI51" s="99" t="str">
        <f>IF(AH51=0," ",IF(AH$48=AH51,AH$49,IF(AI$48=AH51,AI$49,IF(AJ$48=AH51,AJ$49,IF(AK$48=AH51,AK$49,IF(AL$48=AH51,AL$49,IF(AM$48=AH51,AM$49,0)))))))</f>
        <v>(ppm) Phosphate added to water</v>
      </c>
      <c r="BG51" s="100"/>
      <c r="BH51" s="100"/>
      <c r="BI51" s="100"/>
      <c r="BJ51" s="100"/>
      <c r="BK51" s="100"/>
      <c r="BL51" s="100"/>
      <c r="BM51" s="99"/>
      <c r="BN51" s="99"/>
      <c r="BO51" s="99"/>
      <c r="BP51" s="99"/>
      <c r="BQ51" s="99"/>
      <c r="BR51" s="99"/>
      <c r="BS51" s="99"/>
      <c r="BT51" s="99"/>
      <c r="BU51" s="99"/>
      <c r="BV51" s="99"/>
      <c r="BW51" s="99"/>
      <c r="BX51" s="99"/>
      <c r="BY51" s="99"/>
      <c r="BZ51" s="99"/>
      <c r="CA51" s="99"/>
      <c r="CB51" s="99"/>
      <c r="CC51" s="99"/>
      <c r="CD51" s="99"/>
      <c r="CE51" s="99"/>
    </row>
    <row r="52" spans="1:83" ht="21.4" customHeight="1" x14ac:dyDescent="0.2">
      <c r="A52" s="19">
        <v>9</v>
      </c>
      <c r="B52" s="7" t="s">
        <v>161</v>
      </c>
      <c r="C52" s="8">
        <v>77</v>
      </c>
      <c r="D52" s="8">
        <v>17</v>
      </c>
      <c r="E52" s="8">
        <v>4</v>
      </c>
      <c r="F52" s="8">
        <v>18</v>
      </c>
      <c r="G52" s="8">
        <v>8</v>
      </c>
      <c r="H52" s="8">
        <v>295</v>
      </c>
      <c r="I52" s="4">
        <f t="shared" si="4"/>
        <v>5.4134890007045362</v>
      </c>
      <c r="J52" s="6">
        <f t="shared" si="5"/>
        <v>5.4367355314573746</v>
      </c>
      <c r="K52" s="5">
        <f t="shared" si="8"/>
        <v>262.4588477366255</v>
      </c>
      <c r="L52" s="26">
        <f t="shared" si="6"/>
        <v>241.85163934426228</v>
      </c>
      <c r="M52" s="5">
        <f t="shared" si="9"/>
        <v>176.85623934426229</v>
      </c>
      <c r="N52" s="4">
        <f t="shared" si="7"/>
        <v>2.25</v>
      </c>
      <c r="O52" s="596" t="s">
        <v>478</v>
      </c>
      <c r="P52" s="597"/>
      <c r="Q52" s="597"/>
      <c r="R52" s="597"/>
      <c r="S52" s="598"/>
      <c r="T52" s="456"/>
      <c r="U52" s="279"/>
      <c r="V52" s="395"/>
      <c r="AH52" s="457">
        <f>LARGE(AH48:AM48,2)</f>
        <v>0</v>
      </c>
      <c r="AI52" s="99" t="str">
        <f>IF(AH52=0," ",IF(AH$48=AH52,AH$49,IF(AI$48=AH52,AI$49,IF(AJ$48=AH52,AJ$49,IF(AK$48=AH52,AK$49,IF(AL$48=AH52,AL$49,IF(AM$48=AH52,AM$49,0)))))))</f>
        <v xml:space="preserve"> </v>
      </c>
      <c r="BG52" s="100"/>
      <c r="BH52" s="100"/>
      <c r="BI52" s="100"/>
      <c r="BJ52" s="100"/>
      <c r="BK52" s="100"/>
      <c r="BL52" s="100"/>
      <c r="BM52" s="99"/>
      <c r="BN52" s="99"/>
      <c r="BO52" s="99"/>
      <c r="BP52" s="99"/>
      <c r="BQ52" s="99"/>
      <c r="BR52" s="99"/>
      <c r="BS52" s="99"/>
      <c r="BT52" s="99"/>
      <c r="BU52" s="99"/>
      <c r="BV52" s="99"/>
      <c r="BW52" s="99"/>
      <c r="BX52" s="99"/>
      <c r="BY52" s="99"/>
      <c r="BZ52" s="99"/>
      <c r="CA52" s="99"/>
      <c r="CB52" s="99"/>
      <c r="CC52" s="99"/>
      <c r="CD52" s="99"/>
      <c r="CE52" s="99"/>
    </row>
    <row r="53" spans="1:83" ht="21.4" customHeight="1" x14ac:dyDescent="0.2">
      <c r="A53" s="19">
        <v>10</v>
      </c>
      <c r="B53" s="7" t="s">
        <v>327</v>
      </c>
      <c r="C53" s="8">
        <v>12</v>
      </c>
      <c r="D53" s="8">
        <v>17</v>
      </c>
      <c r="E53" s="8">
        <v>4</v>
      </c>
      <c r="F53" s="8">
        <v>18</v>
      </c>
      <c r="G53" s="8">
        <v>8</v>
      </c>
      <c r="H53" s="8">
        <v>100</v>
      </c>
      <c r="I53" s="4">
        <f t="shared" si="4"/>
        <v>2.17159373885915</v>
      </c>
      <c r="J53" s="6">
        <f t="shared" si="5"/>
        <v>2.240014219981965</v>
      </c>
      <c r="K53" s="5">
        <f t="shared" si="8"/>
        <v>99.958847736625515</v>
      </c>
      <c r="L53" s="26">
        <f t="shared" si="6"/>
        <v>81.983606557377058</v>
      </c>
      <c r="M53" s="5">
        <f t="shared" si="9"/>
        <v>63.417706557377059</v>
      </c>
      <c r="N53" s="4">
        <f t="shared" si="7"/>
        <v>2.25</v>
      </c>
      <c r="O53" s="596" t="s">
        <v>473</v>
      </c>
      <c r="P53" s="597"/>
      <c r="Q53" s="597"/>
      <c r="R53" s="597"/>
      <c r="S53" s="598"/>
      <c r="T53" s="456"/>
      <c r="V53" s="458"/>
      <c r="AH53" s="457">
        <f>LARGE(AH48:AM48,3)</f>
        <v>0</v>
      </c>
      <c r="AI53" s="99" t="str">
        <f>IF(AH53=0," ",IF(AH$48=AH53,AH$49,IF(AI$48=AH53,AI$49,IF(AJ$48=AH53,AJ$49,IF(AK$48=AH53,AK$49,IF(AL$48=AH53,AL$49,IF(AM$48=AH53,AM$49,0)))))))</f>
        <v xml:space="preserve"> </v>
      </c>
      <c r="BG53" s="100"/>
      <c r="BH53" s="100"/>
      <c r="BI53" s="100"/>
      <c r="BJ53" s="100"/>
      <c r="BK53" s="100"/>
      <c r="BL53" s="100"/>
      <c r="BM53" s="99"/>
      <c r="BN53" s="99"/>
      <c r="BO53" s="99"/>
      <c r="BP53" s="99"/>
      <c r="BQ53" s="99"/>
      <c r="BR53" s="99"/>
      <c r="BS53" s="99"/>
      <c r="BT53" s="99"/>
      <c r="BU53" s="99"/>
      <c r="BV53" s="99"/>
      <c r="BW53" s="99"/>
      <c r="BX53" s="99"/>
      <c r="BY53" s="99"/>
      <c r="BZ53" s="99"/>
      <c r="CA53" s="99"/>
      <c r="CB53" s="99"/>
      <c r="CC53" s="99"/>
      <c r="CD53" s="99"/>
      <c r="CE53" s="99"/>
    </row>
    <row r="54" spans="1:83" ht="21.4" customHeight="1" x14ac:dyDescent="0.2">
      <c r="A54" s="19">
        <v>11</v>
      </c>
      <c r="B54" s="7" t="s">
        <v>162</v>
      </c>
      <c r="C54" s="8">
        <v>7</v>
      </c>
      <c r="D54" s="8">
        <v>2</v>
      </c>
      <c r="E54" s="8">
        <v>2</v>
      </c>
      <c r="F54" s="8">
        <v>8</v>
      </c>
      <c r="G54" s="8">
        <v>6</v>
      </c>
      <c r="H54" s="8">
        <v>16</v>
      </c>
      <c r="I54" s="4">
        <f t="shared" si="4"/>
        <v>0.60069275728196048</v>
      </c>
      <c r="J54" s="6">
        <f t="shared" si="5"/>
        <v>0.59821421689904197</v>
      </c>
      <c r="K54" s="5">
        <f t="shared" si="8"/>
        <v>25.730452674897119</v>
      </c>
      <c r="L54" s="26">
        <f t="shared" si="6"/>
        <v>13.117377049180329</v>
      </c>
      <c r="M54" s="5">
        <f t="shared" si="9"/>
        <v>6.9414770491803282</v>
      </c>
      <c r="N54" s="4">
        <f t="shared" si="7"/>
        <v>1.3333333333333333</v>
      </c>
      <c r="O54" s="596" t="s">
        <v>479</v>
      </c>
      <c r="P54" s="597"/>
      <c r="Q54" s="597"/>
      <c r="R54" s="597"/>
      <c r="S54" s="598"/>
      <c r="T54" s="456"/>
      <c r="AA54" s="99" t="s">
        <v>972</v>
      </c>
      <c r="AH54" s="457">
        <f>LARGE(AH48:AM48,4)</f>
        <v>0</v>
      </c>
      <c r="AI54" s="99" t="str">
        <f>IF(AH54=0," ",IF(AH$48=AH54,AH$49,IF(AI$48=AH54,AI$49,IF(AJ$48=AH54,AJ$49,IF(AK$48=AH54,AK$49,IF(AL$48=AH54,AL$49,IF(AM$48=AH54,AM$49,0)))))))</f>
        <v xml:space="preserve"> </v>
      </c>
      <c r="BG54" s="100"/>
      <c r="BH54" s="100"/>
      <c r="BI54" s="100"/>
      <c r="BJ54" s="100"/>
      <c r="BK54" s="100"/>
      <c r="BL54" s="100"/>
      <c r="BM54" s="99"/>
      <c r="BN54" s="99"/>
      <c r="BO54" s="99"/>
      <c r="BP54" s="99"/>
      <c r="BQ54" s="99"/>
      <c r="BR54" s="99"/>
      <c r="BS54" s="99"/>
      <c r="BT54" s="99"/>
      <c r="BU54" s="99"/>
      <c r="BV54" s="99"/>
      <c r="BW54" s="99"/>
      <c r="BX54" s="99"/>
      <c r="BY54" s="99"/>
      <c r="BZ54" s="99"/>
      <c r="CA54" s="99"/>
      <c r="CB54" s="99"/>
      <c r="CC54" s="99"/>
      <c r="CD54" s="99"/>
      <c r="CE54" s="99"/>
    </row>
    <row r="55" spans="1:83" ht="21.4" customHeight="1" x14ac:dyDescent="0.2">
      <c r="A55" s="19">
        <v>12</v>
      </c>
      <c r="B55" s="9" t="s">
        <v>163</v>
      </c>
      <c r="C55" s="8">
        <v>75</v>
      </c>
      <c r="D55" s="8">
        <v>15</v>
      </c>
      <c r="E55" s="8">
        <v>10</v>
      </c>
      <c r="F55" s="8">
        <v>60</v>
      </c>
      <c r="G55" s="8">
        <v>15</v>
      </c>
      <c r="H55" s="8">
        <v>225</v>
      </c>
      <c r="I55" s="4">
        <f t="shared" si="4"/>
        <v>5.4099988889825887</v>
      </c>
      <c r="J55" s="6">
        <f t="shared" si="5"/>
        <v>5.3616557608268405</v>
      </c>
      <c r="K55" s="5">
        <f t="shared" si="8"/>
        <v>249.22839506172841</v>
      </c>
      <c r="L55" s="26">
        <f t="shared" si="6"/>
        <v>184.46311475409834</v>
      </c>
      <c r="M55" s="5">
        <f t="shared" si="9"/>
        <v>122.07211475409834</v>
      </c>
      <c r="N55" s="4">
        <f t="shared" si="7"/>
        <v>4</v>
      </c>
      <c r="O55" s="596" t="s">
        <v>480</v>
      </c>
      <c r="P55" s="597"/>
      <c r="Q55" s="597"/>
      <c r="R55" s="597"/>
      <c r="S55" s="598"/>
      <c r="T55" s="456"/>
      <c r="AI55" s="459" t="s">
        <v>581</v>
      </c>
      <c r="BG55" s="100"/>
      <c r="BH55" s="100"/>
      <c r="BI55" s="100"/>
      <c r="BJ55" s="100"/>
      <c r="BK55" s="100"/>
      <c r="BL55" s="100"/>
      <c r="BM55" s="99"/>
      <c r="BN55" s="99"/>
      <c r="BO55" s="99"/>
      <c r="BP55" s="99"/>
      <c r="BQ55" s="99"/>
      <c r="BR55" s="99"/>
      <c r="BS55" s="99"/>
      <c r="BT55" s="99"/>
      <c r="BU55" s="99"/>
      <c r="BV55" s="99"/>
      <c r="BW55" s="99"/>
      <c r="BX55" s="99"/>
      <c r="BY55" s="99"/>
      <c r="BZ55" s="99"/>
      <c r="CA55" s="99"/>
      <c r="CB55" s="99"/>
      <c r="CC55" s="99"/>
      <c r="CD55" s="99"/>
      <c r="CE55" s="99"/>
    </row>
    <row r="56" spans="1:83" ht="21.4" customHeight="1" x14ac:dyDescent="0.2">
      <c r="A56" s="19">
        <v>13</v>
      </c>
      <c r="B56" s="9" t="s">
        <v>310</v>
      </c>
      <c r="C56" s="8">
        <v>27</v>
      </c>
      <c r="D56" s="8">
        <v>15</v>
      </c>
      <c r="E56" s="8">
        <v>10</v>
      </c>
      <c r="F56" s="8">
        <v>60</v>
      </c>
      <c r="G56" s="8">
        <v>15</v>
      </c>
      <c r="H56" s="8">
        <v>80</v>
      </c>
      <c r="I56" s="4">
        <f t="shared" si="4"/>
        <v>3.0159839263890733</v>
      </c>
      <c r="J56" s="6">
        <f t="shared" si="5"/>
        <v>2.9846065804989705</v>
      </c>
      <c r="K56" s="5">
        <f t="shared" si="8"/>
        <v>129.22839506172838</v>
      </c>
      <c r="L56" s="26">
        <f t="shared" si="6"/>
        <v>65.586885245901641</v>
      </c>
      <c r="M56" s="5">
        <f t="shared" si="9"/>
        <v>37.482285245901636</v>
      </c>
      <c r="N56" s="4">
        <f t="shared" si="7"/>
        <v>4</v>
      </c>
      <c r="O56" s="596" t="s">
        <v>473</v>
      </c>
      <c r="P56" s="597"/>
      <c r="Q56" s="597"/>
      <c r="R56" s="597"/>
      <c r="S56" s="598"/>
      <c r="T56" s="456"/>
      <c r="AI56" s="457">
        <f>'3. Grain Bill Input'!K24*$T$18</f>
        <v>0</v>
      </c>
      <c r="BG56" s="100"/>
      <c r="BH56" s="100"/>
      <c r="BI56" s="100"/>
      <c r="BJ56" s="100"/>
      <c r="BK56" s="100"/>
      <c r="BL56" s="100"/>
      <c r="BM56" s="99"/>
      <c r="BN56" s="99"/>
      <c r="BO56" s="99"/>
      <c r="BP56" s="99"/>
      <c r="BQ56" s="99"/>
      <c r="BR56" s="99"/>
      <c r="BS56" s="99"/>
      <c r="BT56" s="99"/>
      <c r="BU56" s="99"/>
      <c r="BV56" s="99"/>
      <c r="BW56" s="99"/>
      <c r="BX56" s="99"/>
      <c r="BY56" s="99"/>
      <c r="BZ56" s="99"/>
      <c r="CA56" s="99"/>
      <c r="CB56" s="99"/>
      <c r="CC56" s="99"/>
      <c r="CD56" s="99"/>
      <c r="CE56" s="99"/>
    </row>
    <row r="57" spans="1:83" ht="21.4" customHeight="1" x14ac:dyDescent="0.2">
      <c r="A57" s="19">
        <v>14</v>
      </c>
      <c r="B57" s="9" t="s">
        <v>131</v>
      </c>
      <c r="C57" s="8">
        <v>40</v>
      </c>
      <c r="D57" s="8">
        <v>15</v>
      </c>
      <c r="E57" s="8">
        <v>25</v>
      </c>
      <c r="F57" s="8">
        <v>80</v>
      </c>
      <c r="G57" s="8">
        <v>45</v>
      </c>
      <c r="H57" s="8">
        <v>81</v>
      </c>
      <c r="I57" s="123">
        <f t="shared" si="4"/>
        <v>4.3165368918016283</v>
      </c>
      <c r="J57" s="124">
        <f t="shared" si="5"/>
        <v>4.2639290311143991</v>
      </c>
      <c r="K57" s="5">
        <f t="shared" si="8"/>
        <v>161.72839506172841</v>
      </c>
      <c r="L57" s="26">
        <f t="shared" si="6"/>
        <v>66.406721311475408</v>
      </c>
      <c r="M57" s="5">
        <f t="shared" si="9"/>
        <v>29.016221311475405</v>
      </c>
      <c r="N57" s="4">
        <f t="shared" si="7"/>
        <v>1.7777777777777777</v>
      </c>
      <c r="O57" s="596" t="s">
        <v>481</v>
      </c>
      <c r="P57" s="597"/>
      <c r="Q57" s="597"/>
      <c r="R57" s="597"/>
      <c r="S57" s="598"/>
      <c r="T57" s="456"/>
      <c r="AI57" s="457"/>
      <c r="BG57" s="100"/>
      <c r="BH57" s="100"/>
      <c r="BI57" s="100"/>
      <c r="BJ57" s="100"/>
      <c r="BK57" s="100"/>
      <c r="BL57" s="100"/>
      <c r="BM57" s="99"/>
      <c r="BN57" s="99"/>
      <c r="BO57" s="99"/>
      <c r="BP57" s="99"/>
      <c r="BQ57" s="99"/>
      <c r="BR57" s="99"/>
      <c r="BS57" s="99"/>
      <c r="BT57" s="99"/>
      <c r="BU57" s="99"/>
      <c r="BV57" s="99"/>
      <c r="BW57" s="99"/>
      <c r="BX57" s="99"/>
      <c r="BY57" s="99"/>
      <c r="BZ57" s="99"/>
      <c r="CA57" s="99"/>
      <c r="CB57" s="99"/>
      <c r="CC57" s="99"/>
      <c r="CD57" s="99"/>
      <c r="CE57" s="99"/>
    </row>
    <row r="58" spans="1:83" ht="21.4" customHeight="1" x14ac:dyDescent="0.2">
      <c r="A58" s="19">
        <v>15</v>
      </c>
      <c r="B58" s="9" t="s">
        <v>311</v>
      </c>
      <c r="C58" s="8">
        <v>39</v>
      </c>
      <c r="D58" s="8">
        <v>15</v>
      </c>
      <c r="E58" s="8">
        <v>25</v>
      </c>
      <c r="F58" s="8">
        <v>80</v>
      </c>
      <c r="G58" s="8">
        <v>45</v>
      </c>
      <c r="H58" s="8">
        <v>80</v>
      </c>
      <c r="I58" s="123">
        <f t="shared" si="4"/>
        <v>4.26666158008093</v>
      </c>
      <c r="J58" s="124">
        <f t="shared" si="5"/>
        <v>4.2475355884914485</v>
      </c>
      <c r="K58" s="5">
        <f t="shared" si="8"/>
        <v>159.22839506172838</v>
      </c>
      <c r="L58" s="26">
        <f t="shared" si="6"/>
        <v>65.586885245901641</v>
      </c>
      <c r="M58" s="5">
        <f t="shared" si="9"/>
        <v>28.910685245901639</v>
      </c>
      <c r="N58" s="4">
        <f t="shared" si="7"/>
        <v>1.7777777777777777</v>
      </c>
      <c r="O58" s="596" t="s">
        <v>473</v>
      </c>
      <c r="P58" s="597"/>
      <c r="Q58" s="597"/>
      <c r="R58" s="597"/>
      <c r="S58" s="598"/>
      <c r="T58" s="456"/>
      <c r="BG58" s="100"/>
      <c r="BH58" s="100"/>
      <c r="BI58" s="100"/>
      <c r="BJ58" s="100"/>
      <c r="BK58" s="100"/>
      <c r="BL58" s="100"/>
      <c r="BM58" s="99"/>
      <c r="BN58" s="99"/>
      <c r="BO58" s="99"/>
      <c r="BP58" s="99"/>
      <c r="BQ58" s="99"/>
      <c r="BR58" s="99"/>
      <c r="BS58" s="99"/>
      <c r="BT58" s="99"/>
      <c r="BU58" s="99"/>
      <c r="BV58" s="99"/>
      <c r="BW58" s="99"/>
      <c r="BX58" s="99"/>
      <c r="BY58" s="99"/>
      <c r="BZ58" s="99"/>
      <c r="CA58" s="99"/>
      <c r="CB58" s="99"/>
      <c r="CC58" s="99"/>
      <c r="CD58" s="99"/>
      <c r="CE58" s="99"/>
    </row>
    <row r="59" spans="1:83" ht="21.4" customHeight="1" x14ac:dyDescent="0.2">
      <c r="A59" s="19">
        <v>16</v>
      </c>
      <c r="B59" s="10" t="s">
        <v>128</v>
      </c>
      <c r="C59" s="8">
        <v>73</v>
      </c>
      <c r="D59" s="8">
        <v>13</v>
      </c>
      <c r="E59" s="8">
        <v>52</v>
      </c>
      <c r="F59" s="8">
        <v>125</v>
      </c>
      <c r="G59" s="8">
        <v>80</v>
      </c>
      <c r="H59" s="8">
        <v>128</v>
      </c>
      <c r="I59" s="4">
        <f t="shared" si="4"/>
        <v>6.9717261685649881</v>
      </c>
      <c r="J59" s="6">
        <f t="shared" si="5"/>
        <v>6.9592268992732009</v>
      </c>
      <c r="K59" s="5">
        <f t="shared" si="8"/>
        <v>235.99794238683128</v>
      </c>
      <c r="L59" s="26">
        <f t="shared" si="6"/>
        <v>104.93901639344263</v>
      </c>
      <c r="M59" s="5">
        <f t="shared" si="9"/>
        <v>45.152416393442628</v>
      </c>
      <c r="N59" s="4">
        <f t="shared" si="7"/>
        <v>1.5625</v>
      </c>
      <c r="O59" s="596"/>
      <c r="P59" s="597"/>
      <c r="Q59" s="597"/>
      <c r="R59" s="597"/>
      <c r="S59" s="598"/>
      <c r="T59" s="456"/>
      <c r="BG59" s="100"/>
      <c r="BH59" s="100"/>
      <c r="BI59" s="100"/>
      <c r="BJ59" s="100"/>
      <c r="BK59" s="100"/>
      <c r="BL59" s="100"/>
      <c r="BM59" s="99"/>
      <c r="BN59" s="99"/>
      <c r="BO59" s="99"/>
      <c r="BP59" s="99"/>
      <c r="BQ59" s="99"/>
      <c r="BR59" s="99"/>
      <c r="BS59" s="99"/>
      <c r="BT59" s="99"/>
      <c r="BU59" s="99"/>
      <c r="BV59" s="99"/>
      <c r="BW59" s="99"/>
      <c r="BX59" s="99"/>
      <c r="BY59" s="99"/>
      <c r="BZ59" s="99"/>
      <c r="CA59" s="99"/>
      <c r="CB59" s="99"/>
      <c r="CC59" s="99"/>
      <c r="CD59" s="99"/>
      <c r="CE59" s="99"/>
    </row>
    <row r="60" spans="1:83" ht="21.4" customHeight="1" x14ac:dyDescent="0.2">
      <c r="A60" s="19">
        <v>17</v>
      </c>
      <c r="B60" s="9" t="s">
        <v>312</v>
      </c>
      <c r="C60" s="8">
        <v>57</v>
      </c>
      <c r="D60" s="8">
        <v>13</v>
      </c>
      <c r="E60" s="8">
        <v>52</v>
      </c>
      <c r="F60" s="8">
        <v>125</v>
      </c>
      <c r="G60" s="8">
        <v>80</v>
      </c>
      <c r="H60" s="8">
        <v>80</v>
      </c>
      <c r="I60" s="4">
        <f t="shared" si="4"/>
        <v>6.1737211810338168</v>
      </c>
      <c r="J60" s="6">
        <f t="shared" si="5"/>
        <v>6.1723416533715607</v>
      </c>
      <c r="K60" s="5">
        <f t="shared" si="8"/>
        <v>195.99794238683128</v>
      </c>
      <c r="L60" s="26">
        <f t="shared" si="6"/>
        <v>65.586885245901641</v>
      </c>
      <c r="M60" s="5">
        <f t="shared" si="9"/>
        <v>17.229085245901643</v>
      </c>
      <c r="N60" s="4">
        <f t="shared" si="7"/>
        <v>1.5625</v>
      </c>
      <c r="O60" s="596" t="s">
        <v>473</v>
      </c>
      <c r="P60" s="597"/>
      <c r="Q60" s="597"/>
      <c r="R60" s="597"/>
      <c r="S60" s="598"/>
      <c r="T60" s="456"/>
      <c r="BG60" s="100"/>
      <c r="BH60" s="100"/>
      <c r="BI60" s="100"/>
      <c r="BJ60" s="100"/>
      <c r="BK60" s="100"/>
      <c r="BL60" s="100"/>
      <c r="BM60" s="99"/>
      <c r="BN60" s="99"/>
      <c r="BO60" s="99"/>
      <c r="BP60" s="99"/>
      <c r="BQ60" s="99"/>
      <c r="BR60" s="99"/>
      <c r="BS60" s="99"/>
      <c r="BT60" s="99"/>
      <c r="BU60" s="99"/>
      <c r="BV60" s="99"/>
      <c r="BW60" s="99"/>
      <c r="BX60" s="99"/>
      <c r="BY60" s="99"/>
      <c r="BZ60" s="99"/>
      <c r="CA60" s="99"/>
      <c r="CB60" s="99"/>
      <c r="CC60" s="99"/>
      <c r="CD60" s="99"/>
      <c r="CE60" s="99"/>
    </row>
    <row r="61" spans="1:83" ht="21.4" customHeight="1" x14ac:dyDescent="0.2">
      <c r="A61" s="19">
        <v>18</v>
      </c>
      <c r="B61" s="10" t="s">
        <v>129</v>
      </c>
      <c r="C61" s="8">
        <v>132</v>
      </c>
      <c r="D61" s="8">
        <v>13</v>
      </c>
      <c r="E61" s="8">
        <v>20</v>
      </c>
      <c r="F61" s="8">
        <v>99</v>
      </c>
      <c r="G61" s="8">
        <v>38</v>
      </c>
      <c r="H61" s="8">
        <v>326</v>
      </c>
      <c r="I61" s="4">
        <f t="shared" si="4"/>
        <v>8.5230652122600983</v>
      </c>
      <c r="J61" s="6">
        <f t="shared" si="5"/>
        <v>8.4786945940946605</v>
      </c>
      <c r="K61" s="5">
        <f t="shared" si="8"/>
        <v>383.49794238683126</v>
      </c>
      <c r="L61" s="26">
        <f t="shared" si="6"/>
        <v>267.26655737704914</v>
      </c>
      <c r="M61" s="5">
        <f t="shared" si="9"/>
        <v>165.33625737704912</v>
      </c>
      <c r="N61" s="4">
        <f t="shared" si="7"/>
        <v>2.6052631578947367</v>
      </c>
      <c r="O61" s="596"/>
      <c r="P61" s="597"/>
      <c r="Q61" s="597"/>
      <c r="R61" s="597"/>
      <c r="S61" s="598"/>
      <c r="T61" s="456"/>
      <c r="BG61" s="100"/>
      <c r="BH61" s="100"/>
      <c r="BI61" s="100"/>
      <c r="BJ61" s="100"/>
      <c r="BK61" s="100"/>
      <c r="BL61" s="100"/>
      <c r="BM61" s="99"/>
      <c r="BN61" s="99"/>
      <c r="BO61" s="99"/>
      <c r="BP61" s="99"/>
      <c r="BQ61" s="99"/>
      <c r="BR61" s="99"/>
      <c r="BS61" s="99"/>
      <c r="BT61" s="99"/>
      <c r="BU61" s="99"/>
      <c r="BV61" s="99"/>
      <c r="BW61" s="99"/>
      <c r="BX61" s="99"/>
      <c r="BY61" s="99"/>
      <c r="BZ61" s="99"/>
      <c r="CA61" s="99"/>
      <c r="CB61" s="99"/>
      <c r="CC61" s="99"/>
      <c r="CD61" s="99"/>
      <c r="CE61" s="99"/>
    </row>
    <row r="62" spans="1:83" ht="21.4" customHeight="1" x14ac:dyDescent="0.2">
      <c r="A62" s="19">
        <v>19</v>
      </c>
      <c r="B62" s="10" t="s">
        <v>313</v>
      </c>
      <c r="C62" s="8">
        <v>51</v>
      </c>
      <c r="D62" s="8">
        <v>13</v>
      </c>
      <c r="E62" s="8">
        <v>20</v>
      </c>
      <c r="F62" s="8">
        <v>99</v>
      </c>
      <c r="G62" s="8">
        <v>38</v>
      </c>
      <c r="H62" s="8">
        <v>80</v>
      </c>
      <c r="I62" s="4">
        <f t="shared" si="4"/>
        <v>4.4831649628835413</v>
      </c>
      <c r="J62" s="6">
        <f t="shared" si="5"/>
        <v>4.4459077088487593</v>
      </c>
      <c r="K62" s="5">
        <f t="shared" si="8"/>
        <v>180.99794238683126</v>
      </c>
      <c r="L62" s="26">
        <f t="shared" si="6"/>
        <v>65.586885245901641</v>
      </c>
      <c r="M62" s="5">
        <f t="shared" si="9"/>
        <v>21.514885245901638</v>
      </c>
      <c r="N62" s="4">
        <f t="shared" si="7"/>
        <v>2.6052631578947367</v>
      </c>
      <c r="O62" s="596" t="s">
        <v>473</v>
      </c>
      <c r="P62" s="597"/>
      <c r="Q62" s="597"/>
      <c r="R62" s="597"/>
      <c r="S62" s="598"/>
      <c r="T62" s="456"/>
      <c r="BG62" s="100"/>
      <c r="BH62" s="100"/>
      <c r="BI62" s="100"/>
      <c r="BJ62" s="100"/>
      <c r="BK62" s="100"/>
      <c r="BL62" s="100"/>
      <c r="BM62" s="99"/>
      <c r="BN62" s="99"/>
      <c r="BO62" s="99"/>
      <c r="BP62" s="99"/>
      <c r="BQ62" s="99"/>
      <c r="BR62" s="99"/>
      <c r="BS62" s="99"/>
      <c r="BT62" s="99"/>
      <c r="BU62" s="99"/>
      <c r="BV62" s="99"/>
      <c r="BW62" s="99"/>
      <c r="BX62" s="99"/>
      <c r="BY62" s="99"/>
      <c r="BZ62" s="99"/>
      <c r="CA62" s="99"/>
      <c r="CB62" s="99"/>
      <c r="CC62" s="99"/>
      <c r="CD62" s="99"/>
      <c r="CE62" s="99"/>
    </row>
    <row r="63" spans="1:83" ht="21.4" customHeight="1" x14ac:dyDescent="0.2">
      <c r="A63" s="19">
        <v>20</v>
      </c>
      <c r="B63" s="10" t="s">
        <v>130</v>
      </c>
      <c r="C63" s="8">
        <v>100</v>
      </c>
      <c r="D63" s="8">
        <v>11</v>
      </c>
      <c r="E63" s="8">
        <v>18</v>
      </c>
      <c r="F63" s="8">
        <v>70</v>
      </c>
      <c r="G63" s="8">
        <v>41</v>
      </c>
      <c r="H63" s="8">
        <v>250</v>
      </c>
      <c r="I63" s="4">
        <f t="shared" si="4"/>
        <v>6.6754896619606825</v>
      </c>
      <c r="J63" s="6">
        <f t="shared" si="5"/>
        <v>6.7132525222163126</v>
      </c>
      <c r="K63" s="5">
        <f t="shared" si="8"/>
        <v>295.26748971193416</v>
      </c>
      <c r="L63" s="26">
        <f t="shared" si="6"/>
        <v>204.95901639344262</v>
      </c>
      <c r="M63" s="5">
        <f t="shared" si="9"/>
        <v>127.06211639344262</v>
      </c>
      <c r="N63" s="4">
        <f t="shared" si="7"/>
        <v>1.7073170731707317</v>
      </c>
      <c r="O63" s="596"/>
      <c r="P63" s="597"/>
      <c r="Q63" s="597"/>
      <c r="R63" s="597"/>
      <c r="S63" s="598"/>
      <c r="T63" s="456"/>
      <c r="BG63" s="100"/>
      <c r="BH63" s="100"/>
      <c r="BI63" s="100"/>
      <c r="BJ63" s="100"/>
      <c r="BK63" s="100"/>
      <c r="BL63" s="100"/>
      <c r="BM63" s="99"/>
      <c r="BN63" s="99"/>
      <c r="BO63" s="99"/>
      <c r="BP63" s="99"/>
      <c r="BQ63" s="99"/>
      <c r="BR63" s="99"/>
      <c r="BS63" s="99"/>
      <c r="BT63" s="99"/>
      <c r="BU63" s="99"/>
      <c r="BV63" s="99"/>
      <c r="BW63" s="99"/>
      <c r="BX63" s="99"/>
      <c r="BY63" s="99"/>
      <c r="BZ63" s="99"/>
      <c r="CA63" s="99"/>
      <c r="CB63" s="99"/>
      <c r="CC63" s="99"/>
      <c r="CD63" s="99"/>
      <c r="CE63" s="99"/>
    </row>
    <row r="64" spans="1:83" ht="21.4" customHeight="1" x14ac:dyDescent="0.2">
      <c r="A64" s="19">
        <v>21</v>
      </c>
      <c r="B64" s="10" t="s">
        <v>314</v>
      </c>
      <c r="C64" s="8">
        <v>44</v>
      </c>
      <c r="D64" s="8">
        <v>11</v>
      </c>
      <c r="E64" s="8">
        <v>18</v>
      </c>
      <c r="F64" s="8">
        <v>70</v>
      </c>
      <c r="G64" s="8">
        <v>41</v>
      </c>
      <c r="H64" s="8">
        <v>80</v>
      </c>
      <c r="I64" s="4">
        <f t="shared" si="4"/>
        <v>3.8824722056015801</v>
      </c>
      <c r="J64" s="6">
        <f t="shared" si="5"/>
        <v>3.9263672763146737</v>
      </c>
      <c r="K64" s="5">
        <f t="shared" si="8"/>
        <v>155.26748971193416</v>
      </c>
      <c r="L64" s="26">
        <f t="shared" si="6"/>
        <v>65.586885245901641</v>
      </c>
      <c r="M64" s="5">
        <f t="shared" si="9"/>
        <v>27.690785245901637</v>
      </c>
      <c r="N64" s="4">
        <f t="shared" si="7"/>
        <v>1.7073170731707317</v>
      </c>
      <c r="O64" s="596" t="s">
        <v>473</v>
      </c>
      <c r="P64" s="597"/>
      <c r="Q64" s="597"/>
      <c r="R64" s="597"/>
      <c r="S64" s="598"/>
      <c r="T64" s="456"/>
      <c r="BG64" s="100"/>
      <c r="BH64" s="100"/>
      <c r="BI64" s="100"/>
      <c r="BJ64" s="100"/>
      <c r="BK64" s="100"/>
      <c r="BL64" s="100"/>
      <c r="BM64" s="99"/>
      <c r="BN64" s="99"/>
      <c r="BO64" s="99"/>
      <c r="BP64" s="99"/>
      <c r="BQ64" s="99"/>
      <c r="BR64" s="99"/>
      <c r="BS64" s="99"/>
      <c r="BT64" s="99"/>
      <c r="BU64" s="99"/>
      <c r="BV64" s="99"/>
      <c r="BW64" s="99"/>
      <c r="BX64" s="99"/>
      <c r="BY64" s="99"/>
      <c r="BZ64" s="99"/>
      <c r="CA64" s="99"/>
      <c r="CB64" s="99"/>
      <c r="CC64" s="99"/>
      <c r="CD64" s="99"/>
      <c r="CE64" s="99"/>
    </row>
    <row r="65" spans="1:83" ht="21.4" customHeight="1" x14ac:dyDescent="0.2">
      <c r="A65" s="19">
        <v>22</v>
      </c>
      <c r="B65" s="10" t="s">
        <v>133</v>
      </c>
      <c r="C65" s="8">
        <v>90</v>
      </c>
      <c r="D65" s="8">
        <v>11</v>
      </c>
      <c r="E65" s="8">
        <v>16</v>
      </c>
      <c r="F65" s="8">
        <v>82</v>
      </c>
      <c r="G65" s="8">
        <v>53</v>
      </c>
      <c r="H65" s="8">
        <v>171</v>
      </c>
      <c r="I65" s="4">
        <f t="shared" si="4"/>
        <v>6.0897800230145691</v>
      </c>
      <c r="J65" s="6">
        <f t="shared" si="5"/>
        <v>6.0066754915335228</v>
      </c>
      <c r="K65" s="5">
        <f t="shared" si="8"/>
        <v>270.26748971193416</v>
      </c>
      <c r="L65" s="26">
        <f t="shared" si="6"/>
        <v>140.19196721311474</v>
      </c>
      <c r="M65" s="5">
        <f t="shared" si="9"/>
        <v>69.438067213114735</v>
      </c>
      <c r="N65" s="4">
        <f t="shared" si="7"/>
        <v>1.5471698113207548</v>
      </c>
      <c r="O65" s="596"/>
      <c r="P65" s="597"/>
      <c r="Q65" s="597"/>
      <c r="R65" s="597"/>
      <c r="S65" s="598"/>
      <c r="T65" s="456"/>
      <c r="BG65" s="100"/>
      <c r="BH65" s="100"/>
      <c r="BI65" s="100"/>
      <c r="BJ65" s="100"/>
      <c r="BK65" s="100"/>
      <c r="BL65" s="100"/>
      <c r="BM65" s="99"/>
      <c r="BN65" s="99"/>
      <c r="BO65" s="99"/>
      <c r="BP65" s="99"/>
      <c r="BQ65" s="99"/>
      <c r="BR65" s="99"/>
      <c r="BS65" s="99"/>
      <c r="BT65" s="99"/>
      <c r="BU65" s="99"/>
      <c r="BV65" s="99"/>
      <c r="BW65" s="99"/>
      <c r="BX65" s="99"/>
      <c r="BY65" s="99"/>
      <c r="BZ65" s="99"/>
      <c r="CA65" s="99"/>
      <c r="CB65" s="99"/>
      <c r="CC65" s="99"/>
      <c r="CD65" s="99"/>
      <c r="CE65" s="99"/>
    </row>
    <row r="66" spans="1:83" ht="21.4" customHeight="1" x14ac:dyDescent="0.2">
      <c r="A66" s="19">
        <v>23</v>
      </c>
      <c r="B66" s="10" t="s">
        <v>315</v>
      </c>
      <c r="C66" s="8">
        <v>60</v>
      </c>
      <c r="D66" s="8">
        <v>11</v>
      </c>
      <c r="E66" s="8">
        <v>16</v>
      </c>
      <c r="F66" s="8">
        <v>82</v>
      </c>
      <c r="G66" s="8">
        <v>53</v>
      </c>
      <c r="H66" s="8">
        <v>80</v>
      </c>
      <c r="I66" s="4">
        <f t="shared" si="4"/>
        <v>4.5935206713936214</v>
      </c>
      <c r="J66" s="6">
        <f t="shared" si="5"/>
        <v>4.5148722128449981</v>
      </c>
      <c r="K66" s="5">
        <f t="shared" si="8"/>
        <v>195.26748971193416</v>
      </c>
      <c r="L66" s="26">
        <f t="shared" si="6"/>
        <v>65.586885245901641</v>
      </c>
      <c r="M66" s="5">
        <f t="shared" si="9"/>
        <v>16.261985245901634</v>
      </c>
      <c r="N66" s="4">
        <f t="shared" si="7"/>
        <v>1.5471698113207548</v>
      </c>
      <c r="O66" s="596" t="s">
        <v>473</v>
      </c>
      <c r="P66" s="597"/>
      <c r="Q66" s="597"/>
      <c r="R66" s="597"/>
      <c r="S66" s="598"/>
      <c r="T66" s="456"/>
      <c r="BG66" s="100"/>
      <c r="BH66" s="100"/>
      <c r="BI66" s="100"/>
      <c r="BJ66" s="100"/>
      <c r="BK66" s="100"/>
      <c r="BL66" s="100"/>
      <c r="BM66" s="99"/>
      <c r="BN66" s="99"/>
      <c r="BO66" s="99"/>
      <c r="BP66" s="99"/>
      <c r="BQ66" s="99"/>
      <c r="BR66" s="99"/>
      <c r="BS66" s="99"/>
      <c r="BT66" s="99"/>
      <c r="BU66" s="99"/>
      <c r="BV66" s="99"/>
      <c r="BW66" s="99"/>
      <c r="BX66" s="99"/>
      <c r="BY66" s="99"/>
      <c r="BZ66" s="99"/>
      <c r="CA66" s="99"/>
      <c r="CB66" s="99"/>
      <c r="CC66" s="99"/>
      <c r="CD66" s="99"/>
      <c r="CE66" s="99"/>
    </row>
    <row r="67" spans="1:83" ht="21.4" customHeight="1" x14ac:dyDescent="0.2">
      <c r="A67" s="19">
        <v>24</v>
      </c>
      <c r="B67" s="10" t="s">
        <v>132</v>
      </c>
      <c r="C67" s="8">
        <v>68</v>
      </c>
      <c r="D67" s="8">
        <v>8</v>
      </c>
      <c r="E67" s="8">
        <v>33</v>
      </c>
      <c r="F67" s="8">
        <v>70</v>
      </c>
      <c r="G67" s="8">
        <v>60</v>
      </c>
      <c r="H67" s="8">
        <v>143</v>
      </c>
      <c r="I67" s="4">
        <f t="shared" si="4"/>
        <v>5.484740019694903</v>
      </c>
      <c r="J67" s="6">
        <f t="shared" si="5"/>
        <v>5.4951203110669224</v>
      </c>
      <c r="K67" s="5">
        <f t="shared" si="8"/>
        <v>202.92181069958849</v>
      </c>
      <c r="L67" s="26">
        <f t="shared" si="6"/>
        <v>117.23655737704918</v>
      </c>
      <c r="M67" s="5">
        <f t="shared" si="9"/>
        <v>63.960957377049176</v>
      </c>
      <c r="N67" s="4">
        <f t="shared" si="7"/>
        <v>1.1666666666666667</v>
      </c>
      <c r="O67" s="596"/>
      <c r="P67" s="597"/>
      <c r="Q67" s="597"/>
      <c r="R67" s="597"/>
      <c r="S67" s="598"/>
      <c r="T67" s="456"/>
      <c r="BG67" s="100"/>
      <c r="BH67" s="100"/>
      <c r="BI67" s="100"/>
      <c r="BJ67" s="100"/>
      <c r="BK67" s="100"/>
      <c r="BL67" s="100"/>
      <c r="BM67" s="99"/>
      <c r="BN67" s="99"/>
      <c r="BO67" s="99"/>
      <c r="BP67" s="99"/>
      <c r="BQ67" s="99"/>
      <c r="BR67" s="99"/>
      <c r="BS67" s="99"/>
      <c r="BT67" s="99"/>
      <c r="BU67" s="99"/>
      <c r="BV67" s="99"/>
      <c r="BW67" s="99"/>
      <c r="BX67" s="99"/>
      <c r="BY67" s="99"/>
      <c r="BZ67" s="99"/>
      <c r="CA67" s="99"/>
      <c r="CB67" s="99"/>
      <c r="CC67" s="99"/>
      <c r="CD67" s="99"/>
      <c r="CE67" s="99"/>
    </row>
    <row r="68" spans="1:83" ht="21.4" customHeight="1" x14ac:dyDescent="0.2">
      <c r="A68" s="19">
        <v>25</v>
      </c>
      <c r="B68" s="10" t="s">
        <v>316</v>
      </c>
      <c r="C68" s="8">
        <v>48</v>
      </c>
      <c r="D68" s="8">
        <v>8</v>
      </c>
      <c r="E68" s="8">
        <v>33</v>
      </c>
      <c r="F68" s="8">
        <v>70</v>
      </c>
      <c r="G68" s="8">
        <v>60</v>
      </c>
      <c r="H68" s="8">
        <v>80</v>
      </c>
      <c r="I68" s="4">
        <f t="shared" si="4"/>
        <v>4.4872337852809379</v>
      </c>
      <c r="J68" s="6">
        <f t="shared" si="5"/>
        <v>4.4623334258210203</v>
      </c>
      <c r="K68" s="5">
        <f t="shared" si="8"/>
        <v>152.92181069958849</v>
      </c>
      <c r="L68" s="26">
        <f t="shared" si="6"/>
        <v>65.586885245901641</v>
      </c>
      <c r="M68" s="5">
        <f t="shared" si="9"/>
        <v>26.597285245901638</v>
      </c>
      <c r="N68" s="4">
        <f t="shared" si="7"/>
        <v>1.1666666666666667</v>
      </c>
      <c r="O68" s="596" t="s">
        <v>473</v>
      </c>
      <c r="P68" s="597"/>
      <c r="Q68" s="597"/>
      <c r="R68" s="597"/>
      <c r="S68" s="598"/>
      <c r="T68" s="456"/>
      <c r="BG68" s="100"/>
      <c r="BH68" s="100"/>
      <c r="BI68" s="100"/>
      <c r="BJ68" s="100"/>
      <c r="BK68" s="100"/>
      <c r="BL68" s="100"/>
      <c r="BM68" s="99"/>
      <c r="BN68" s="99"/>
      <c r="BO68" s="99"/>
      <c r="BP68" s="99"/>
      <c r="BQ68" s="99"/>
      <c r="BR68" s="99"/>
      <c r="BS68" s="99"/>
      <c r="BT68" s="99"/>
      <c r="BU68" s="99"/>
      <c r="BV68" s="99"/>
      <c r="BW68" s="99"/>
      <c r="BX68" s="99"/>
      <c r="BY68" s="99"/>
      <c r="BZ68" s="99"/>
      <c r="CA68" s="99"/>
      <c r="CB68" s="99"/>
      <c r="CC68" s="99"/>
      <c r="CD68" s="99"/>
      <c r="CE68" s="99"/>
    </row>
    <row r="69" spans="1:83" ht="21.4" customHeight="1" x14ac:dyDescent="0.2">
      <c r="A69" s="19">
        <v>26</v>
      </c>
      <c r="B69" s="10" t="s">
        <v>140</v>
      </c>
      <c r="C69" s="8">
        <v>65</v>
      </c>
      <c r="D69" s="8">
        <v>7</v>
      </c>
      <c r="E69" s="8">
        <v>16</v>
      </c>
      <c r="F69" s="8">
        <v>48</v>
      </c>
      <c r="G69" s="8">
        <v>30</v>
      </c>
      <c r="H69" s="8">
        <v>159</v>
      </c>
      <c r="I69" s="4">
        <f t="shared" si="4"/>
        <v>4.5136791230012285</v>
      </c>
      <c r="J69" s="6">
        <f t="shared" si="5"/>
        <v>4.4528197183749914</v>
      </c>
      <c r="K69" s="5">
        <f t="shared" si="8"/>
        <v>191.30658436213992</v>
      </c>
      <c r="L69" s="26">
        <f t="shared" si="6"/>
        <v>130.35393442622953</v>
      </c>
      <c r="M69" s="5">
        <f t="shared" si="9"/>
        <v>79.809134426229519</v>
      </c>
      <c r="N69" s="4">
        <f t="shared" si="7"/>
        <v>1.6</v>
      </c>
      <c r="O69" s="596"/>
      <c r="P69" s="597"/>
      <c r="Q69" s="597"/>
      <c r="R69" s="597"/>
      <c r="S69" s="598"/>
      <c r="T69" s="456"/>
      <c r="BG69" s="100"/>
      <c r="BH69" s="100"/>
      <c r="BI69" s="100"/>
      <c r="BJ69" s="100"/>
      <c r="BK69" s="100"/>
      <c r="BL69" s="100"/>
      <c r="BM69" s="99"/>
      <c r="BN69" s="99"/>
      <c r="BO69" s="99"/>
      <c r="BP69" s="99"/>
      <c r="BQ69" s="99"/>
      <c r="BR69" s="99"/>
      <c r="BS69" s="99"/>
      <c r="BT69" s="99"/>
      <c r="BU69" s="99"/>
      <c r="BV69" s="99"/>
      <c r="BW69" s="99"/>
      <c r="BX69" s="99"/>
      <c r="BY69" s="99"/>
      <c r="BZ69" s="99"/>
      <c r="CA69" s="99"/>
      <c r="CB69" s="99"/>
      <c r="CC69" s="99"/>
      <c r="CD69" s="99"/>
      <c r="CE69" s="99"/>
    </row>
    <row r="70" spans="1:83" ht="21.4" customHeight="1" x14ac:dyDescent="0.2">
      <c r="A70" s="19">
        <v>27</v>
      </c>
      <c r="B70" s="10" t="s">
        <v>317</v>
      </c>
      <c r="C70" s="8">
        <v>39</v>
      </c>
      <c r="D70" s="8">
        <v>7</v>
      </c>
      <c r="E70" s="8">
        <v>16</v>
      </c>
      <c r="F70" s="8">
        <v>48</v>
      </c>
      <c r="G70" s="8">
        <v>30</v>
      </c>
      <c r="H70" s="8">
        <v>80</v>
      </c>
      <c r="I70" s="4">
        <f t="shared" si="4"/>
        <v>3.2169210182630734</v>
      </c>
      <c r="J70" s="6">
        <f t="shared" si="5"/>
        <v>3.1577377511618763</v>
      </c>
      <c r="K70" s="5">
        <f t="shared" si="8"/>
        <v>126.3065843621399</v>
      </c>
      <c r="L70" s="26">
        <f t="shared" si="6"/>
        <v>65.586885245901641</v>
      </c>
      <c r="M70" s="5">
        <f t="shared" si="9"/>
        <v>33.613885245901642</v>
      </c>
      <c r="N70" s="4">
        <f t="shared" si="7"/>
        <v>1.6</v>
      </c>
      <c r="O70" s="596" t="s">
        <v>473</v>
      </c>
      <c r="P70" s="597"/>
      <c r="Q70" s="597"/>
      <c r="R70" s="597"/>
      <c r="S70" s="598"/>
      <c r="T70" s="456"/>
      <c r="BG70" s="100"/>
      <c r="BH70" s="100"/>
      <c r="BI70" s="100"/>
      <c r="BJ70" s="100"/>
      <c r="BK70" s="100"/>
      <c r="BL70" s="100"/>
      <c r="BM70" s="99"/>
      <c r="BN70" s="99"/>
      <c r="BO70" s="99"/>
      <c r="BP70" s="99"/>
      <c r="BQ70" s="99"/>
      <c r="BR70" s="99"/>
      <c r="BS70" s="99"/>
      <c r="BT70" s="99"/>
      <c r="BU70" s="99"/>
      <c r="BV70" s="99"/>
      <c r="BW70" s="99"/>
      <c r="BX70" s="99"/>
      <c r="BY70" s="99"/>
      <c r="BZ70" s="99"/>
      <c r="CA70" s="99"/>
      <c r="CB70" s="99"/>
      <c r="CC70" s="99"/>
      <c r="CD70" s="99"/>
      <c r="CE70" s="99"/>
    </row>
    <row r="71" spans="1:83" ht="21.4" customHeight="1" x14ac:dyDescent="0.2">
      <c r="A71" s="19">
        <v>28</v>
      </c>
      <c r="B71" s="10" t="s">
        <v>134</v>
      </c>
      <c r="C71" s="8">
        <v>111</v>
      </c>
      <c r="D71" s="8">
        <v>12</v>
      </c>
      <c r="E71" s="8">
        <v>14</v>
      </c>
      <c r="F71" s="8">
        <v>74</v>
      </c>
      <c r="G71" s="8">
        <v>40</v>
      </c>
      <c r="H71" s="8">
        <v>270</v>
      </c>
      <c r="I71" s="4">
        <f t="shared" si="4"/>
        <v>7.1325095741590738</v>
      </c>
      <c r="J71" s="6">
        <f t="shared" si="5"/>
        <v>7.096245963297803</v>
      </c>
      <c r="K71" s="5">
        <f t="shared" si="8"/>
        <v>326.88271604938268</v>
      </c>
      <c r="L71" s="26">
        <f t="shared" si="6"/>
        <v>221.35573770491803</v>
      </c>
      <c r="M71" s="5">
        <f t="shared" si="9"/>
        <v>135.01363770491804</v>
      </c>
      <c r="N71" s="4">
        <f t="shared" si="7"/>
        <v>1.85</v>
      </c>
      <c r="O71" s="596"/>
      <c r="P71" s="597"/>
      <c r="Q71" s="597"/>
      <c r="R71" s="597"/>
      <c r="S71" s="598"/>
      <c r="T71" s="456"/>
      <c r="BG71" s="100"/>
      <c r="BH71" s="100"/>
      <c r="BI71" s="100"/>
      <c r="BJ71" s="100"/>
      <c r="BK71" s="100"/>
      <c r="BL71" s="100"/>
      <c r="BM71" s="99"/>
      <c r="BN71" s="99"/>
      <c r="BO71" s="99"/>
      <c r="BP71" s="99"/>
      <c r="BQ71" s="99"/>
      <c r="BR71" s="99"/>
      <c r="BS71" s="99"/>
      <c r="BT71" s="99"/>
      <c r="BU71" s="99"/>
      <c r="BV71" s="99"/>
      <c r="BW71" s="99"/>
      <c r="BX71" s="99"/>
      <c r="BY71" s="99"/>
      <c r="BZ71" s="99"/>
      <c r="CA71" s="99"/>
      <c r="CB71" s="99"/>
      <c r="CC71" s="99"/>
      <c r="CD71" s="99"/>
      <c r="CE71" s="99"/>
    </row>
    <row r="72" spans="1:83" ht="21.4" customHeight="1" x14ac:dyDescent="0.2">
      <c r="A72" s="19">
        <v>29</v>
      </c>
      <c r="B72" s="10" t="s">
        <v>318</v>
      </c>
      <c r="C72" s="8">
        <v>49</v>
      </c>
      <c r="D72" s="8">
        <v>12</v>
      </c>
      <c r="E72" s="8">
        <v>14</v>
      </c>
      <c r="F72" s="8">
        <v>74</v>
      </c>
      <c r="G72" s="8">
        <v>40</v>
      </c>
      <c r="H72" s="8">
        <v>80</v>
      </c>
      <c r="I72" s="4">
        <f t="shared" si="4"/>
        <v>4.0402402474757819</v>
      </c>
      <c r="J72" s="6">
        <f t="shared" si="5"/>
        <v>3.9814918649371469</v>
      </c>
      <c r="K72" s="5">
        <f t="shared" si="8"/>
        <v>171.88271604938274</v>
      </c>
      <c r="L72" s="26">
        <f t="shared" si="6"/>
        <v>65.586885245901641</v>
      </c>
      <c r="M72" s="5">
        <f t="shared" si="9"/>
        <v>23.531385245901639</v>
      </c>
      <c r="N72" s="4">
        <f t="shared" si="7"/>
        <v>1.85</v>
      </c>
      <c r="O72" s="596" t="s">
        <v>473</v>
      </c>
      <c r="P72" s="597"/>
      <c r="Q72" s="597"/>
      <c r="R72" s="597"/>
      <c r="S72" s="598"/>
      <c r="T72" s="456"/>
      <c r="BG72" s="100"/>
      <c r="BH72" s="100"/>
      <c r="BI72" s="100"/>
      <c r="BJ72" s="100"/>
      <c r="BK72" s="100"/>
      <c r="BL72" s="100"/>
      <c r="BM72" s="99"/>
      <c r="BN72" s="99"/>
      <c r="BO72" s="99"/>
      <c r="BP72" s="99"/>
      <c r="BQ72" s="99"/>
      <c r="BR72" s="99"/>
      <c r="BS72" s="99"/>
      <c r="BT72" s="99"/>
      <c r="BU72" s="99"/>
      <c r="BV72" s="99"/>
      <c r="BW72" s="99"/>
      <c r="BX72" s="99"/>
      <c r="BY72" s="99"/>
      <c r="BZ72" s="99"/>
      <c r="CA72" s="99"/>
      <c r="CB72" s="99"/>
      <c r="CC72" s="99"/>
      <c r="CD72" s="99"/>
      <c r="CE72" s="99"/>
    </row>
    <row r="73" spans="1:83" ht="21.4" customHeight="1" x14ac:dyDescent="0.2">
      <c r="A73" s="19">
        <v>30</v>
      </c>
      <c r="B73" s="10" t="s">
        <v>141</v>
      </c>
      <c r="C73" s="8">
        <v>113</v>
      </c>
      <c r="D73" s="8">
        <v>17</v>
      </c>
      <c r="E73" s="8">
        <v>15</v>
      </c>
      <c r="F73" s="8">
        <v>65</v>
      </c>
      <c r="G73" s="8">
        <v>41</v>
      </c>
      <c r="H73" s="8">
        <v>315</v>
      </c>
      <c r="I73" s="4">
        <f t="shared" si="4"/>
        <v>7.6872610922148912</v>
      </c>
      <c r="J73" s="6">
        <f t="shared" si="5"/>
        <v>7.6746596260414499</v>
      </c>
      <c r="K73" s="5">
        <f t="shared" si="8"/>
        <v>352.45884773662556</v>
      </c>
      <c r="L73" s="26">
        <f t="shared" si="6"/>
        <v>258.24836065573771</v>
      </c>
      <c r="M73" s="5">
        <f t="shared" si="9"/>
        <v>167.53816065573773</v>
      </c>
      <c r="N73" s="4">
        <f t="shared" si="7"/>
        <v>1.5853658536585367</v>
      </c>
      <c r="O73" s="596"/>
      <c r="P73" s="597"/>
      <c r="Q73" s="597"/>
      <c r="R73" s="597"/>
      <c r="S73" s="598"/>
      <c r="T73" s="456"/>
      <c r="BG73" s="100"/>
      <c r="BH73" s="100"/>
      <c r="BI73" s="100"/>
      <c r="BJ73" s="100"/>
      <c r="BK73" s="100"/>
      <c r="BL73" s="100"/>
      <c r="BM73" s="99"/>
      <c r="BN73" s="99"/>
      <c r="BO73" s="99"/>
      <c r="BP73" s="99"/>
      <c r="BQ73" s="99"/>
      <c r="BR73" s="99"/>
      <c r="BS73" s="99"/>
      <c r="BT73" s="99"/>
      <c r="BU73" s="99"/>
      <c r="BV73" s="99"/>
      <c r="BW73" s="99"/>
      <c r="BX73" s="99"/>
      <c r="BY73" s="99"/>
      <c r="BZ73" s="99"/>
      <c r="CA73" s="99"/>
      <c r="CB73" s="99"/>
      <c r="CC73" s="99"/>
      <c r="CD73" s="99"/>
      <c r="CE73" s="99"/>
    </row>
    <row r="74" spans="1:83" ht="21.4" customHeight="1" x14ac:dyDescent="0.2">
      <c r="A74" s="19">
        <v>31</v>
      </c>
      <c r="B74" s="10" t="s">
        <v>319</v>
      </c>
      <c r="C74" s="8">
        <v>36</v>
      </c>
      <c r="D74" s="8">
        <v>17</v>
      </c>
      <c r="E74" s="8">
        <v>15</v>
      </c>
      <c r="F74" s="8">
        <v>65</v>
      </c>
      <c r="G74" s="8">
        <v>41</v>
      </c>
      <c r="H74" s="8">
        <v>80</v>
      </c>
      <c r="I74" s="4">
        <f t="shared" si="4"/>
        <v>3.8468620897211254</v>
      </c>
      <c r="J74" s="6">
        <f t="shared" si="5"/>
        <v>3.8222006096480072</v>
      </c>
      <c r="K74" s="5">
        <f t="shared" si="8"/>
        <v>159.95884773662553</v>
      </c>
      <c r="L74" s="26">
        <f t="shared" si="6"/>
        <v>65.586885245901641</v>
      </c>
      <c r="M74" s="5">
        <f t="shared" si="9"/>
        <v>29.877785245901642</v>
      </c>
      <c r="N74" s="4">
        <f t="shared" si="7"/>
        <v>1.5853658536585367</v>
      </c>
      <c r="O74" s="596" t="s">
        <v>473</v>
      </c>
      <c r="P74" s="597"/>
      <c r="Q74" s="597"/>
      <c r="R74" s="597"/>
      <c r="S74" s="598"/>
      <c r="T74" s="456"/>
      <c r="BG74" s="100"/>
      <c r="BH74" s="100"/>
      <c r="BI74" s="100"/>
      <c r="BJ74" s="100"/>
      <c r="BK74" s="100"/>
      <c r="BL74" s="100"/>
      <c r="BM74" s="99"/>
      <c r="BN74" s="99"/>
      <c r="BO74" s="99"/>
      <c r="BP74" s="99"/>
      <c r="BQ74" s="99"/>
      <c r="BR74" s="99"/>
      <c r="BS74" s="99"/>
      <c r="BT74" s="99"/>
      <c r="BU74" s="99"/>
      <c r="BV74" s="99"/>
      <c r="BW74" s="99"/>
      <c r="BX74" s="99"/>
      <c r="BY74" s="99"/>
      <c r="BZ74" s="99"/>
      <c r="CA74" s="99"/>
      <c r="CB74" s="99"/>
      <c r="CC74" s="99"/>
      <c r="CD74" s="99"/>
      <c r="CE74" s="99"/>
    </row>
    <row r="75" spans="1:83" ht="21.4" customHeight="1" x14ac:dyDescent="0.2">
      <c r="A75" s="19">
        <v>32</v>
      </c>
      <c r="B75" s="10" t="s">
        <v>135</v>
      </c>
      <c r="C75" s="8">
        <v>29</v>
      </c>
      <c r="D75" s="8">
        <v>4</v>
      </c>
      <c r="E75" s="8">
        <v>12</v>
      </c>
      <c r="F75" s="8">
        <v>12</v>
      </c>
      <c r="G75" s="8">
        <v>35</v>
      </c>
      <c r="H75" s="8">
        <v>70</v>
      </c>
      <c r="I75" s="4">
        <f t="shared" si="4"/>
        <v>2.2973412773309168</v>
      </c>
      <c r="J75" s="6">
        <f t="shared" si="5"/>
        <v>2.38484704848667</v>
      </c>
      <c r="K75" s="5">
        <f t="shared" si="8"/>
        <v>88.960905349794245</v>
      </c>
      <c r="L75" s="26">
        <f t="shared" si="6"/>
        <v>57.388524590163939</v>
      </c>
      <c r="M75" s="5">
        <f t="shared" si="9"/>
        <v>34.322224590163941</v>
      </c>
      <c r="N75" s="4">
        <f t="shared" si="7"/>
        <v>0.34285714285714286</v>
      </c>
      <c r="O75" s="596"/>
      <c r="P75" s="597"/>
      <c r="Q75" s="597"/>
      <c r="R75" s="597"/>
      <c r="S75" s="598"/>
      <c r="T75" s="456"/>
      <c r="BG75" s="100"/>
      <c r="BH75" s="100"/>
      <c r="BI75" s="100"/>
      <c r="BJ75" s="100"/>
      <c r="BK75" s="100"/>
      <c r="BL75" s="100"/>
      <c r="BM75" s="99"/>
      <c r="BN75" s="99"/>
      <c r="BO75" s="99"/>
      <c r="BP75" s="99"/>
      <c r="BQ75" s="99"/>
      <c r="BR75" s="99"/>
      <c r="BS75" s="99"/>
      <c r="BT75" s="99"/>
      <c r="BU75" s="99"/>
      <c r="BV75" s="99"/>
      <c r="BW75" s="99"/>
      <c r="BX75" s="99"/>
      <c r="BY75" s="99"/>
      <c r="BZ75" s="99"/>
      <c r="CA75" s="99"/>
      <c r="CB75" s="99"/>
      <c r="CC75" s="99"/>
      <c r="CD75" s="99"/>
      <c r="CE75" s="99"/>
    </row>
    <row r="76" spans="1:83" ht="21.4" customHeight="1" x14ac:dyDescent="0.2">
      <c r="A76" s="19">
        <v>33</v>
      </c>
      <c r="B76" s="10" t="s">
        <v>136</v>
      </c>
      <c r="C76" s="8">
        <v>96</v>
      </c>
      <c r="D76" s="8">
        <v>4</v>
      </c>
      <c r="E76" s="8">
        <v>5</v>
      </c>
      <c r="F76" s="8">
        <v>25</v>
      </c>
      <c r="G76" s="8">
        <v>13</v>
      </c>
      <c r="H76" s="8">
        <v>270</v>
      </c>
      <c r="I76" s="4">
        <f t="shared" si="4"/>
        <v>5.3346393365307438</v>
      </c>
      <c r="J76" s="6">
        <f t="shared" si="5"/>
        <v>5.3137765227712395</v>
      </c>
      <c r="K76" s="5">
        <f t="shared" si="8"/>
        <v>256.46090534979425</v>
      </c>
      <c r="L76" s="26">
        <f t="shared" si="6"/>
        <v>221.35573770491803</v>
      </c>
      <c r="M76" s="5">
        <f t="shared" si="9"/>
        <v>150.43133770491801</v>
      </c>
      <c r="N76" s="4">
        <f t="shared" ref="N76:N108" si="11">IF(G76&lt;=0,0,F76/G76)</f>
        <v>1.9230769230769231</v>
      </c>
      <c r="O76" s="596"/>
      <c r="P76" s="597"/>
      <c r="Q76" s="597"/>
      <c r="R76" s="597"/>
      <c r="S76" s="598"/>
      <c r="T76" s="456"/>
      <c r="BG76" s="100"/>
      <c r="BH76" s="100"/>
      <c r="BI76" s="100"/>
      <c r="BJ76" s="100"/>
      <c r="BK76" s="100"/>
      <c r="BL76" s="100"/>
      <c r="BM76" s="99"/>
      <c r="BN76" s="99"/>
      <c r="BO76" s="99"/>
      <c r="BP76" s="99"/>
      <c r="BQ76" s="99"/>
      <c r="BR76" s="99"/>
      <c r="BS76" s="99"/>
      <c r="BT76" s="99"/>
      <c r="BU76" s="99"/>
      <c r="BV76" s="99"/>
      <c r="BW76" s="99"/>
      <c r="BX76" s="99"/>
      <c r="BY76" s="99"/>
      <c r="BZ76" s="99"/>
      <c r="CA76" s="99"/>
      <c r="CB76" s="99"/>
      <c r="CC76" s="99"/>
      <c r="CD76" s="99"/>
      <c r="CE76" s="99"/>
    </row>
    <row r="77" spans="1:83" ht="21.4" customHeight="1" x14ac:dyDescent="0.2">
      <c r="A77" s="19">
        <v>34</v>
      </c>
      <c r="B77" s="10" t="s">
        <v>320</v>
      </c>
      <c r="C77" s="8">
        <v>34</v>
      </c>
      <c r="D77" s="8">
        <v>4</v>
      </c>
      <c r="E77" s="8">
        <v>5</v>
      </c>
      <c r="F77" s="8">
        <v>25</v>
      </c>
      <c r="G77" s="8">
        <v>13</v>
      </c>
      <c r="H77" s="8">
        <v>80</v>
      </c>
      <c r="I77" s="4">
        <f t="shared" si="4"/>
        <v>2.2423700098474515</v>
      </c>
      <c r="J77" s="6">
        <f t="shared" si="5"/>
        <v>2.1990224244105834</v>
      </c>
      <c r="K77" s="5">
        <f t="shared" si="8"/>
        <v>101.46090534979425</v>
      </c>
      <c r="L77" s="26">
        <f t="shared" si="6"/>
        <v>65.586885245901641</v>
      </c>
      <c r="M77" s="5">
        <f t="shared" si="9"/>
        <v>38.949085245901642</v>
      </c>
      <c r="N77" s="4">
        <f t="shared" si="11"/>
        <v>1.9230769230769231</v>
      </c>
      <c r="O77" s="596" t="s">
        <v>473</v>
      </c>
      <c r="P77" s="597"/>
      <c r="Q77" s="597"/>
      <c r="R77" s="597"/>
      <c r="S77" s="598"/>
      <c r="T77" s="456"/>
      <c r="BG77" s="100"/>
      <c r="BH77" s="100"/>
      <c r="BI77" s="100"/>
      <c r="BJ77" s="100"/>
      <c r="BK77" s="100"/>
      <c r="BL77" s="100"/>
      <c r="BM77" s="99"/>
      <c r="BN77" s="99"/>
      <c r="BO77" s="99"/>
      <c r="BP77" s="99"/>
      <c r="BQ77" s="99"/>
      <c r="BR77" s="99"/>
      <c r="BS77" s="99"/>
      <c r="BT77" s="99"/>
      <c r="BU77" s="99"/>
      <c r="BV77" s="99"/>
      <c r="BW77" s="99"/>
      <c r="BX77" s="99"/>
      <c r="BY77" s="99"/>
      <c r="BZ77" s="99"/>
      <c r="CA77" s="99"/>
      <c r="CB77" s="99"/>
      <c r="CC77" s="99"/>
      <c r="CD77" s="99"/>
      <c r="CE77" s="99"/>
    </row>
    <row r="78" spans="1:83" ht="21.4" customHeight="1" x14ac:dyDescent="0.2">
      <c r="A78" s="19">
        <v>35</v>
      </c>
      <c r="B78" s="10" t="s">
        <v>137</v>
      </c>
      <c r="C78" s="8">
        <v>82</v>
      </c>
      <c r="D78" s="8">
        <v>10</v>
      </c>
      <c r="E78" s="8">
        <v>6</v>
      </c>
      <c r="F78" s="8">
        <v>32</v>
      </c>
      <c r="G78" s="8">
        <v>17</v>
      </c>
      <c r="H78" s="8">
        <v>245</v>
      </c>
      <c r="I78" s="4">
        <f t="shared" si="4"/>
        <v>5.1736903938043604</v>
      </c>
      <c r="J78" s="6">
        <f t="shared" si="5"/>
        <v>5.162608769374244</v>
      </c>
      <c r="K78" s="5">
        <f t="shared" si="8"/>
        <v>246.15226337448556</v>
      </c>
      <c r="L78" s="26">
        <f t="shared" si="6"/>
        <v>200.85983606557377</v>
      </c>
      <c r="M78" s="5">
        <f t="shared" si="9"/>
        <v>136.40823606557376</v>
      </c>
      <c r="N78" s="4">
        <f t="shared" si="11"/>
        <v>1.8823529411764706</v>
      </c>
      <c r="O78" s="596"/>
      <c r="P78" s="597"/>
      <c r="Q78" s="597"/>
      <c r="R78" s="597"/>
      <c r="S78" s="598"/>
      <c r="T78" s="456"/>
      <c r="BG78" s="100"/>
      <c r="BH78" s="100"/>
      <c r="BI78" s="100"/>
      <c r="BJ78" s="100"/>
      <c r="BK78" s="100"/>
      <c r="BL78" s="100"/>
      <c r="BM78" s="99"/>
      <c r="BN78" s="99"/>
      <c r="BO78" s="99"/>
      <c r="BP78" s="99"/>
      <c r="BQ78" s="99"/>
      <c r="BR78" s="99"/>
      <c r="BS78" s="99"/>
      <c r="BT78" s="99"/>
      <c r="BU78" s="99"/>
      <c r="BV78" s="99"/>
      <c r="BW78" s="99"/>
      <c r="BX78" s="99"/>
      <c r="BY78" s="99"/>
      <c r="BZ78" s="99"/>
      <c r="CA78" s="99"/>
      <c r="CB78" s="99"/>
      <c r="CC78" s="99"/>
      <c r="CD78" s="99"/>
      <c r="CE78" s="99"/>
    </row>
    <row r="79" spans="1:83" ht="21.4" customHeight="1" x14ac:dyDescent="0.2">
      <c r="A79" s="19">
        <v>36</v>
      </c>
      <c r="B79" s="10" t="s">
        <v>321</v>
      </c>
      <c r="C79" s="8">
        <v>28</v>
      </c>
      <c r="D79" s="8">
        <v>10</v>
      </c>
      <c r="E79" s="8">
        <v>6</v>
      </c>
      <c r="F79" s="8">
        <v>32</v>
      </c>
      <c r="G79" s="8">
        <v>17</v>
      </c>
      <c r="H79" s="8">
        <v>80</v>
      </c>
      <c r="I79" s="4">
        <f t="shared" si="4"/>
        <v>2.4804235608866541</v>
      </c>
      <c r="J79" s="6">
        <f t="shared" si="5"/>
        <v>2.4576907365873586</v>
      </c>
      <c r="K79" s="5">
        <f t="shared" si="8"/>
        <v>111.1522633744856</v>
      </c>
      <c r="L79" s="26">
        <f t="shared" si="6"/>
        <v>65.586885245901641</v>
      </c>
      <c r="M79" s="5">
        <f t="shared" si="9"/>
        <v>39.707485245901637</v>
      </c>
      <c r="N79" s="4">
        <f t="shared" si="11"/>
        <v>1.8823529411764706</v>
      </c>
      <c r="O79" s="596" t="s">
        <v>473</v>
      </c>
      <c r="P79" s="597"/>
      <c r="Q79" s="597"/>
      <c r="R79" s="597"/>
      <c r="S79" s="598"/>
      <c r="T79" s="456"/>
      <c r="BG79" s="100"/>
      <c r="BH79" s="100"/>
      <c r="BI79" s="100"/>
      <c r="BJ79" s="100"/>
      <c r="BK79" s="100"/>
      <c r="BL79" s="100"/>
      <c r="BM79" s="99"/>
      <c r="BN79" s="99"/>
      <c r="BO79" s="99"/>
      <c r="BP79" s="99"/>
      <c r="BQ79" s="99"/>
      <c r="BR79" s="99"/>
      <c r="BS79" s="99"/>
      <c r="BT79" s="99"/>
      <c r="BU79" s="99"/>
      <c r="BV79" s="99"/>
      <c r="BW79" s="99"/>
      <c r="BX79" s="99"/>
      <c r="BY79" s="99"/>
      <c r="BZ79" s="99"/>
      <c r="CA79" s="99"/>
      <c r="CB79" s="99"/>
      <c r="CC79" s="99"/>
      <c r="CD79" s="99"/>
      <c r="CE79" s="99"/>
    </row>
    <row r="80" spans="1:83" ht="21.4" customHeight="1" x14ac:dyDescent="0.2">
      <c r="A80" s="19">
        <v>37</v>
      </c>
      <c r="B80" s="10" t="s">
        <v>138</v>
      </c>
      <c r="C80" s="8">
        <v>70</v>
      </c>
      <c r="D80" s="8">
        <v>7</v>
      </c>
      <c r="E80" s="8">
        <v>7</v>
      </c>
      <c r="F80" s="8">
        <v>21</v>
      </c>
      <c r="G80" s="8">
        <v>21</v>
      </c>
      <c r="H80" s="8">
        <v>205</v>
      </c>
      <c r="I80" s="4">
        <f t="shared" si="4"/>
        <v>4.3717513337786329</v>
      </c>
      <c r="J80" s="6">
        <f t="shared" si="5"/>
        <v>4.3905393766329857</v>
      </c>
      <c r="K80" s="5">
        <f t="shared" si="8"/>
        <v>203.80658436213989</v>
      </c>
      <c r="L80" s="26">
        <f t="shared" si="6"/>
        <v>168.06639344262297</v>
      </c>
      <c r="M80" s="5">
        <f t="shared" si="9"/>
        <v>113.95009344262297</v>
      </c>
      <c r="N80" s="4">
        <f t="shared" si="11"/>
        <v>1</v>
      </c>
      <c r="O80" s="596"/>
      <c r="P80" s="597"/>
      <c r="Q80" s="597"/>
      <c r="R80" s="597"/>
      <c r="S80" s="598"/>
      <c r="T80" s="456"/>
      <c r="BG80" s="100"/>
      <c r="BH80" s="100"/>
      <c r="BI80" s="100"/>
      <c r="BJ80" s="100"/>
      <c r="BK80" s="100"/>
      <c r="BL80" s="100"/>
      <c r="BM80" s="99"/>
      <c r="BN80" s="99"/>
      <c r="BO80" s="99"/>
      <c r="BP80" s="99"/>
      <c r="BQ80" s="99"/>
      <c r="BR80" s="99"/>
      <c r="BS80" s="99"/>
      <c r="BT80" s="99"/>
      <c r="BU80" s="99"/>
      <c r="BV80" s="99"/>
      <c r="BW80" s="99"/>
      <c r="BX80" s="99"/>
      <c r="BY80" s="99"/>
      <c r="BZ80" s="99"/>
      <c r="CA80" s="99"/>
      <c r="CB80" s="99"/>
      <c r="CC80" s="99"/>
      <c r="CD80" s="99"/>
      <c r="CE80" s="99"/>
    </row>
    <row r="81" spans="1:83" ht="21.4" customHeight="1" x14ac:dyDescent="0.2">
      <c r="A81" s="19">
        <v>38</v>
      </c>
      <c r="B81" s="10" t="s">
        <v>322</v>
      </c>
      <c r="C81" s="8">
        <v>29</v>
      </c>
      <c r="D81" s="8">
        <v>7</v>
      </c>
      <c r="E81" s="8">
        <v>7</v>
      </c>
      <c r="F81" s="8">
        <v>21</v>
      </c>
      <c r="G81" s="8">
        <v>21</v>
      </c>
      <c r="H81" s="8">
        <v>80</v>
      </c>
      <c r="I81" s="4">
        <f t="shared" si="4"/>
        <v>2.3268635532300039</v>
      </c>
      <c r="J81" s="6">
        <f t="shared" si="5"/>
        <v>2.3413590487641329</v>
      </c>
      <c r="K81" s="5">
        <f t="shared" si="8"/>
        <v>101.3065843621399</v>
      </c>
      <c r="L81" s="26">
        <f t="shared" si="6"/>
        <v>65.586885245901641</v>
      </c>
      <c r="M81" s="5">
        <f t="shared" si="9"/>
        <v>40.756885245901643</v>
      </c>
      <c r="N81" s="4">
        <f t="shared" si="11"/>
        <v>1</v>
      </c>
      <c r="O81" s="596" t="s">
        <v>473</v>
      </c>
      <c r="P81" s="597"/>
      <c r="Q81" s="597"/>
      <c r="R81" s="597"/>
      <c r="S81" s="598"/>
      <c r="T81" s="456"/>
      <c r="BG81" s="100"/>
      <c r="BH81" s="100"/>
      <c r="BI81" s="100"/>
      <c r="BJ81" s="100"/>
      <c r="BK81" s="100"/>
      <c r="BL81" s="100"/>
      <c r="BM81" s="99"/>
      <c r="BN81" s="99"/>
      <c r="BO81" s="99"/>
      <c r="BP81" s="99"/>
      <c r="BQ81" s="99"/>
      <c r="BR81" s="99"/>
      <c r="BS81" s="99"/>
      <c r="BT81" s="99"/>
      <c r="BU81" s="99"/>
      <c r="BV81" s="99"/>
      <c r="BW81" s="99"/>
      <c r="BX81" s="99"/>
      <c r="BY81" s="99"/>
      <c r="BZ81" s="99"/>
      <c r="CA81" s="99"/>
      <c r="CB81" s="99"/>
      <c r="CC81" s="99"/>
      <c r="CD81" s="99"/>
      <c r="CE81" s="99"/>
    </row>
    <row r="82" spans="1:83" ht="21.4" customHeight="1" x14ac:dyDescent="0.2">
      <c r="A82" s="19">
        <v>39</v>
      </c>
      <c r="B82" s="10" t="s">
        <v>142</v>
      </c>
      <c r="C82" s="8">
        <v>60</v>
      </c>
      <c r="D82" s="8">
        <v>15</v>
      </c>
      <c r="E82" s="8">
        <v>11</v>
      </c>
      <c r="F82" s="8">
        <v>28</v>
      </c>
      <c r="G82" s="8">
        <v>24</v>
      </c>
      <c r="H82" s="8">
        <v>210</v>
      </c>
      <c r="I82" s="4">
        <f t="shared" si="4"/>
        <v>4.7053474740416803</v>
      </c>
      <c r="J82" s="6">
        <f t="shared" si="5"/>
        <v>4.7029661572136536</v>
      </c>
      <c r="K82" s="5">
        <f t="shared" si="8"/>
        <v>211.72839506172841</v>
      </c>
      <c r="L82" s="26">
        <f t="shared" si="6"/>
        <v>172.16557377049182</v>
      </c>
      <c r="M82" s="5">
        <f t="shared" si="9"/>
        <v>120.48907377049181</v>
      </c>
      <c r="N82" s="4">
        <f t="shared" si="11"/>
        <v>1.1666666666666667</v>
      </c>
      <c r="O82" s="596"/>
      <c r="P82" s="597"/>
      <c r="Q82" s="597"/>
      <c r="R82" s="597"/>
      <c r="S82" s="598"/>
      <c r="T82" s="456"/>
      <c r="BG82" s="100"/>
      <c r="BH82" s="100"/>
      <c r="BI82" s="100"/>
      <c r="BJ82" s="100"/>
      <c r="BK82" s="100"/>
      <c r="BL82" s="100"/>
      <c r="BM82" s="99"/>
      <c r="BN82" s="99"/>
      <c r="BO82" s="99"/>
      <c r="BP82" s="99"/>
      <c r="BQ82" s="99"/>
      <c r="BR82" s="99"/>
      <c r="BS82" s="99"/>
      <c r="BT82" s="99"/>
      <c r="BU82" s="99"/>
      <c r="BV82" s="99"/>
      <c r="BW82" s="99"/>
      <c r="BX82" s="99"/>
      <c r="BY82" s="99"/>
      <c r="BZ82" s="99"/>
      <c r="CA82" s="99"/>
      <c r="CB82" s="99"/>
      <c r="CC82" s="99"/>
      <c r="CD82" s="99"/>
      <c r="CE82" s="99"/>
    </row>
    <row r="83" spans="1:83" ht="21.4" customHeight="1" x14ac:dyDescent="0.2">
      <c r="A83" s="19">
        <v>40</v>
      </c>
      <c r="B83" s="10" t="s">
        <v>325</v>
      </c>
      <c r="C83" s="8">
        <v>18</v>
      </c>
      <c r="D83" s="8">
        <v>15</v>
      </c>
      <c r="E83" s="8">
        <v>11</v>
      </c>
      <c r="F83" s="8">
        <v>28</v>
      </c>
      <c r="G83" s="8">
        <v>24</v>
      </c>
      <c r="H83" s="8">
        <v>80</v>
      </c>
      <c r="I83" s="4">
        <f t="shared" si="4"/>
        <v>2.6105843817723535</v>
      </c>
      <c r="J83" s="6">
        <f t="shared" si="5"/>
        <v>2.5718186162300474</v>
      </c>
      <c r="K83" s="5">
        <f t="shared" si="8"/>
        <v>106.72839506172839</v>
      </c>
      <c r="L83" s="26">
        <f t="shared" si="6"/>
        <v>65.586885245901641</v>
      </c>
      <c r="M83" s="5">
        <f t="shared" si="9"/>
        <v>43.910985245901642</v>
      </c>
      <c r="N83" s="4">
        <f t="shared" si="11"/>
        <v>1.1666666666666667</v>
      </c>
      <c r="O83" s="596" t="s">
        <v>473</v>
      </c>
      <c r="P83" s="597"/>
      <c r="Q83" s="597"/>
      <c r="R83" s="597"/>
      <c r="S83" s="598"/>
      <c r="T83" s="456"/>
      <c r="BG83" s="100"/>
      <c r="BH83" s="100"/>
      <c r="BI83" s="100"/>
      <c r="BJ83" s="100"/>
      <c r="BK83" s="100"/>
      <c r="BL83" s="100"/>
      <c r="BM83" s="99"/>
      <c r="BN83" s="99"/>
      <c r="BO83" s="99"/>
      <c r="BP83" s="99"/>
      <c r="BQ83" s="99"/>
      <c r="BR83" s="99"/>
      <c r="BS83" s="99"/>
      <c r="BT83" s="99"/>
      <c r="BU83" s="99"/>
      <c r="BV83" s="99"/>
      <c r="BW83" s="99"/>
      <c r="BX83" s="99"/>
      <c r="BY83" s="99"/>
      <c r="BZ83" s="99"/>
      <c r="CA83" s="99"/>
      <c r="CB83" s="99"/>
      <c r="CC83" s="99"/>
      <c r="CD83" s="99"/>
      <c r="CE83" s="99"/>
    </row>
    <row r="84" spans="1:83" ht="21.4" customHeight="1" x14ac:dyDescent="0.2">
      <c r="A84" s="19">
        <v>41</v>
      </c>
      <c r="B84" s="10" t="s">
        <v>143</v>
      </c>
      <c r="C84" s="8">
        <v>134</v>
      </c>
      <c r="D84" s="8">
        <v>22</v>
      </c>
      <c r="E84" s="8">
        <v>52</v>
      </c>
      <c r="F84" s="8">
        <v>76</v>
      </c>
      <c r="G84" s="8">
        <v>47</v>
      </c>
      <c r="H84" s="8">
        <v>475</v>
      </c>
      <c r="I84" s="4">
        <f t="shared" si="4"/>
        <v>10.754860924268323</v>
      </c>
      <c r="J84" s="6">
        <f t="shared" si="5"/>
        <v>10.69602958064541</v>
      </c>
      <c r="K84" s="5">
        <f t="shared" si="8"/>
        <v>425.53497942386838</v>
      </c>
      <c r="L84" s="26">
        <f t="shared" si="6"/>
        <v>389.42213114754099</v>
      </c>
      <c r="M84" s="5">
        <f t="shared" si="9"/>
        <v>280.77213114754102</v>
      </c>
      <c r="N84" s="4">
        <f t="shared" si="11"/>
        <v>1.6170212765957446</v>
      </c>
      <c r="O84" s="596"/>
      <c r="P84" s="597"/>
      <c r="Q84" s="597"/>
      <c r="R84" s="597"/>
      <c r="S84" s="598"/>
      <c r="T84" s="456"/>
      <c r="BG84" s="100"/>
      <c r="BH84" s="100"/>
      <c r="BI84" s="100"/>
      <c r="BJ84" s="100"/>
      <c r="BK84" s="100"/>
      <c r="BL84" s="100"/>
      <c r="BM84" s="99"/>
      <c r="BN84" s="99"/>
      <c r="BO84" s="99"/>
      <c r="BP84" s="99"/>
      <c r="BQ84" s="99"/>
      <c r="BR84" s="99"/>
      <c r="BS84" s="99"/>
      <c r="BT84" s="99"/>
      <c r="BU84" s="99"/>
      <c r="BV84" s="99"/>
      <c r="BW84" s="99"/>
      <c r="BX84" s="99"/>
      <c r="BY84" s="99"/>
      <c r="BZ84" s="99"/>
      <c r="CA84" s="99"/>
      <c r="CB84" s="99"/>
      <c r="CC84" s="99"/>
      <c r="CD84" s="99"/>
      <c r="CE84" s="99"/>
    </row>
    <row r="85" spans="1:83" ht="21.4" customHeight="1" x14ac:dyDescent="0.2">
      <c r="A85" s="19">
        <v>42</v>
      </c>
      <c r="B85" s="10" t="s">
        <v>324</v>
      </c>
      <c r="C85" s="8">
        <v>4</v>
      </c>
      <c r="D85" s="8">
        <v>22</v>
      </c>
      <c r="E85" s="8">
        <v>52</v>
      </c>
      <c r="F85" s="8">
        <v>76</v>
      </c>
      <c r="G85" s="8">
        <v>47</v>
      </c>
      <c r="H85" s="8">
        <v>80</v>
      </c>
      <c r="I85" s="4">
        <f t="shared" si="4"/>
        <v>4.2710704005775497</v>
      </c>
      <c r="J85" s="6">
        <f t="shared" si="5"/>
        <v>4.2206197445798361</v>
      </c>
      <c r="K85" s="5">
        <f t="shared" si="8"/>
        <v>100.53497942386831</v>
      </c>
      <c r="L85" s="26">
        <f t="shared" si="6"/>
        <v>65.586885245901641</v>
      </c>
      <c r="M85" s="5">
        <f t="shared" si="9"/>
        <v>49.795885245901644</v>
      </c>
      <c r="N85" s="4">
        <f t="shared" si="11"/>
        <v>1.6170212765957446</v>
      </c>
      <c r="O85" s="596" t="s">
        <v>473</v>
      </c>
      <c r="P85" s="597"/>
      <c r="Q85" s="597"/>
      <c r="R85" s="597"/>
      <c r="S85" s="598"/>
      <c r="T85" s="456"/>
      <c r="BG85" s="100"/>
      <c r="BH85" s="100"/>
      <c r="BI85" s="100"/>
      <c r="BJ85" s="100"/>
      <c r="BK85" s="100"/>
      <c r="BL85" s="100"/>
      <c r="BM85" s="99"/>
      <c r="BN85" s="99"/>
      <c r="BO85" s="99"/>
      <c r="BP85" s="99"/>
      <c r="BQ85" s="99"/>
      <c r="BR85" s="99"/>
      <c r="BS85" s="99"/>
      <c r="BT85" s="99"/>
      <c r="BU85" s="99"/>
      <c r="BV85" s="99"/>
      <c r="BW85" s="99"/>
      <c r="BX85" s="99"/>
      <c r="BY85" s="99"/>
      <c r="BZ85" s="99"/>
      <c r="CA85" s="99"/>
      <c r="CB85" s="99"/>
      <c r="CC85" s="99"/>
      <c r="CD85" s="99"/>
      <c r="CE85" s="99"/>
    </row>
    <row r="86" spans="1:83" ht="21.4" customHeight="1" x14ac:dyDescent="0.2">
      <c r="A86" s="19">
        <v>43</v>
      </c>
      <c r="B86" s="10" t="s">
        <v>144</v>
      </c>
      <c r="C86" s="8">
        <v>114</v>
      </c>
      <c r="D86" s="8">
        <v>10</v>
      </c>
      <c r="E86" s="8">
        <v>125</v>
      </c>
      <c r="F86" s="8">
        <v>145</v>
      </c>
      <c r="G86" s="8">
        <v>139</v>
      </c>
      <c r="H86" s="8">
        <v>305</v>
      </c>
      <c r="I86" s="4">
        <f t="shared" si="4"/>
        <v>11.943613412344964</v>
      </c>
      <c r="J86" s="6">
        <f t="shared" si="5"/>
        <v>11.941848848142925</v>
      </c>
      <c r="K86" s="5">
        <f t="shared" si="8"/>
        <v>326.15226337448559</v>
      </c>
      <c r="L86" s="26">
        <f t="shared" si="6"/>
        <v>250.04999999999998</v>
      </c>
      <c r="M86" s="5">
        <f t="shared" si="9"/>
        <v>162.74079999999998</v>
      </c>
      <c r="N86" s="4">
        <f t="shared" si="11"/>
        <v>1.0431654676258992</v>
      </c>
      <c r="O86" s="596"/>
      <c r="P86" s="597"/>
      <c r="Q86" s="597"/>
      <c r="R86" s="597"/>
      <c r="S86" s="598"/>
      <c r="T86" s="456"/>
      <c r="BG86" s="100"/>
      <c r="BH86" s="100"/>
      <c r="BI86" s="100"/>
      <c r="BJ86" s="100"/>
      <c r="BK86" s="100"/>
      <c r="BL86" s="100"/>
      <c r="BM86" s="99"/>
      <c r="BN86" s="99"/>
      <c r="BO86" s="99"/>
      <c r="BP86" s="99"/>
      <c r="BQ86" s="99"/>
      <c r="BR86" s="99"/>
      <c r="BS86" s="99"/>
      <c r="BT86" s="99"/>
      <c r="BU86" s="99"/>
      <c r="BV86" s="99"/>
      <c r="BW86" s="99"/>
      <c r="BX86" s="99"/>
      <c r="BY86" s="99"/>
      <c r="BZ86" s="99"/>
      <c r="CA86" s="99"/>
      <c r="CB86" s="99"/>
      <c r="CC86" s="99"/>
      <c r="CD86" s="99"/>
      <c r="CE86" s="99"/>
    </row>
    <row r="87" spans="1:83" ht="21.4" customHeight="1" x14ac:dyDescent="0.2">
      <c r="A87" s="19">
        <v>44</v>
      </c>
      <c r="B87" s="10" t="s">
        <v>323</v>
      </c>
      <c r="C87" s="8">
        <v>40</v>
      </c>
      <c r="D87" s="8">
        <v>10</v>
      </c>
      <c r="E87" s="8">
        <v>125</v>
      </c>
      <c r="F87" s="8">
        <v>145</v>
      </c>
      <c r="G87" s="8">
        <v>139</v>
      </c>
      <c r="H87" s="8">
        <v>80</v>
      </c>
      <c r="I87" s="4">
        <f t="shared" si="4"/>
        <v>8.2528403450132934</v>
      </c>
      <c r="J87" s="6">
        <f t="shared" si="5"/>
        <v>8.2533242579789903</v>
      </c>
      <c r="K87" s="5">
        <f t="shared" si="8"/>
        <v>141.15226337448559</v>
      </c>
      <c r="L87" s="26">
        <f t="shared" si="6"/>
        <v>65.586885245901641</v>
      </c>
      <c r="M87" s="5">
        <f t="shared" si="9"/>
        <v>31.13588524590164</v>
      </c>
      <c r="N87" s="4">
        <f t="shared" si="11"/>
        <v>1.0431654676258992</v>
      </c>
      <c r="O87" s="596" t="s">
        <v>473</v>
      </c>
      <c r="P87" s="597"/>
      <c r="Q87" s="597"/>
      <c r="R87" s="597"/>
      <c r="S87" s="598"/>
      <c r="T87" s="456"/>
      <c r="BG87" s="100"/>
      <c r="BH87" s="100"/>
      <c r="BI87" s="100"/>
      <c r="BJ87" s="100"/>
      <c r="BK87" s="100"/>
      <c r="BL87" s="100"/>
      <c r="BM87" s="99"/>
      <c r="BN87" s="99"/>
      <c r="BO87" s="99"/>
      <c r="BP87" s="99"/>
      <c r="BQ87" s="99"/>
      <c r="BR87" s="99"/>
      <c r="BS87" s="99"/>
      <c r="BT87" s="99"/>
      <c r="BU87" s="99"/>
      <c r="BV87" s="99"/>
      <c r="BW87" s="99"/>
      <c r="BX87" s="99"/>
      <c r="BY87" s="99"/>
      <c r="BZ87" s="99"/>
      <c r="CA87" s="99"/>
      <c r="CB87" s="99"/>
      <c r="CC87" s="99"/>
      <c r="CD87" s="99"/>
      <c r="CE87" s="99"/>
    </row>
    <row r="88" spans="1:83" ht="21.4" customHeight="1" x14ac:dyDescent="0.2">
      <c r="A88" s="19">
        <v>45</v>
      </c>
      <c r="B88" s="10" t="s">
        <v>139</v>
      </c>
      <c r="C88" s="8">
        <v>60</v>
      </c>
      <c r="D88" s="8">
        <v>13</v>
      </c>
      <c r="E88" s="8">
        <v>11</v>
      </c>
      <c r="F88" s="8">
        <v>25</v>
      </c>
      <c r="G88" s="8">
        <v>24</v>
      </c>
      <c r="H88" s="8">
        <v>200</v>
      </c>
      <c r="I88" s="4">
        <f t="shared" si="4"/>
        <v>4.5407384205437387</v>
      </c>
      <c r="J88" s="6">
        <f t="shared" si="5"/>
        <v>4.4765317309841466</v>
      </c>
      <c r="K88" s="5">
        <f t="shared" si="8"/>
        <v>203.49794238683128</v>
      </c>
      <c r="L88" s="26">
        <f t="shared" si="6"/>
        <v>163.96721311475412</v>
      </c>
      <c r="M88" s="5">
        <f t="shared" si="9"/>
        <v>113.46651311475412</v>
      </c>
      <c r="N88" s="4">
        <f t="shared" si="11"/>
        <v>1.0416666666666667</v>
      </c>
      <c r="O88" s="596"/>
      <c r="P88" s="597"/>
      <c r="Q88" s="597"/>
      <c r="R88" s="597"/>
      <c r="S88" s="598"/>
      <c r="T88" s="456"/>
      <c r="BG88" s="100"/>
      <c r="BH88" s="100"/>
      <c r="BI88" s="100"/>
      <c r="BJ88" s="100"/>
      <c r="BK88" s="100"/>
      <c r="BL88" s="100"/>
      <c r="BM88" s="99"/>
      <c r="BN88" s="99"/>
      <c r="BO88" s="99"/>
      <c r="BP88" s="99"/>
      <c r="BQ88" s="99"/>
      <c r="BR88" s="99"/>
      <c r="BS88" s="99"/>
      <c r="BT88" s="99"/>
      <c r="BU88" s="99"/>
      <c r="BV88" s="99"/>
      <c r="BW88" s="99"/>
      <c r="BX88" s="99"/>
      <c r="BY88" s="99"/>
      <c r="BZ88" s="99"/>
      <c r="CA88" s="99"/>
      <c r="CB88" s="99"/>
      <c r="CC88" s="99"/>
      <c r="CD88" s="99"/>
      <c r="CE88" s="99"/>
    </row>
    <row r="89" spans="1:83" ht="21.4" customHeight="1" x14ac:dyDescent="0.2">
      <c r="A89" s="19">
        <v>46</v>
      </c>
      <c r="B89" s="10" t="s">
        <v>326</v>
      </c>
      <c r="C89" s="8">
        <v>20</v>
      </c>
      <c r="D89" s="8">
        <v>13</v>
      </c>
      <c r="E89" s="8">
        <v>11</v>
      </c>
      <c r="F89" s="8">
        <v>25</v>
      </c>
      <c r="G89" s="8">
        <v>24</v>
      </c>
      <c r="H89" s="8">
        <v>80</v>
      </c>
      <c r="I89" s="4">
        <f t="shared" si="4"/>
        <v>2.545725951715808</v>
      </c>
      <c r="J89" s="6">
        <f t="shared" si="5"/>
        <v>2.5093186162300474</v>
      </c>
      <c r="K89" s="5">
        <f t="shared" si="8"/>
        <v>103.49794238683128</v>
      </c>
      <c r="L89" s="26">
        <f t="shared" si="6"/>
        <v>65.586885245901641</v>
      </c>
      <c r="M89" s="5">
        <f t="shared" si="9"/>
        <v>43.658185245901642</v>
      </c>
      <c r="N89" s="4">
        <f t="shared" si="11"/>
        <v>1.0416666666666667</v>
      </c>
      <c r="O89" s="596" t="s">
        <v>473</v>
      </c>
      <c r="P89" s="597"/>
      <c r="Q89" s="597"/>
      <c r="R89" s="597"/>
      <c r="S89" s="598"/>
      <c r="T89" s="456"/>
      <c r="BG89" s="100"/>
      <c r="BH89" s="100"/>
      <c r="BI89" s="100"/>
      <c r="BJ89" s="100"/>
      <c r="BK89" s="100"/>
      <c r="BL89" s="100"/>
      <c r="BM89" s="99"/>
      <c r="BN89" s="99"/>
      <c r="BO89" s="99"/>
      <c r="BP89" s="99"/>
      <c r="BQ89" s="99"/>
      <c r="BR89" s="99"/>
      <c r="BS89" s="99"/>
      <c r="BT89" s="99"/>
      <c r="BU89" s="99"/>
      <c r="BV89" s="99"/>
      <c r="BW89" s="99"/>
      <c r="BX89" s="99"/>
      <c r="BY89" s="99"/>
      <c r="BZ89" s="99"/>
      <c r="CA89" s="99"/>
      <c r="CB89" s="99"/>
      <c r="CC89" s="99"/>
      <c r="CD89" s="99"/>
      <c r="CE89" s="99"/>
    </row>
    <row r="90" spans="1:83" ht="21.4" customHeight="1" x14ac:dyDescent="0.2">
      <c r="A90" s="19">
        <v>47</v>
      </c>
      <c r="B90" s="10" t="s">
        <v>176</v>
      </c>
      <c r="C90" s="8">
        <v>113</v>
      </c>
      <c r="D90" s="8">
        <v>20</v>
      </c>
      <c r="E90" s="8">
        <v>25</v>
      </c>
      <c r="F90" s="8">
        <v>300</v>
      </c>
      <c r="G90" s="8">
        <v>55</v>
      </c>
      <c r="H90" s="8">
        <v>35</v>
      </c>
      <c r="I90" s="4">
        <f t="shared" si="4"/>
        <v>8.3689572811574564</v>
      </c>
      <c r="J90" s="6">
        <f t="shared" si="5"/>
        <v>8.3752514509005991</v>
      </c>
      <c r="K90" s="5">
        <f t="shared" si="8"/>
        <v>364.80452674897117</v>
      </c>
      <c r="L90" s="26">
        <f t="shared" si="6"/>
        <v>28.69426229508197</v>
      </c>
      <c r="M90" s="5">
        <f t="shared" si="9"/>
        <v>-63.779637704918031</v>
      </c>
      <c r="N90" s="4">
        <f t="shared" si="11"/>
        <v>5.4545454545454541</v>
      </c>
      <c r="O90" s="596" t="s">
        <v>482</v>
      </c>
      <c r="P90" s="597"/>
      <c r="Q90" s="597"/>
      <c r="R90" s="597"/>
      <c r="S90" s="598"/>
      <c r="T90" s="456"/>
      <c r="BG90" s="100"/>
      <c r="BH90" s="100"/>
      <c r="BI90" s="100"/>
      <c r="BJ90" s="100"/>
      <c r="BK90" s="100"/>
      <c r="BL90" s="100"/>
      <c r="BM90" s="99"/>
      <c r="BN90" s="99"/>
      <c r="BO90" s="99"/>
      <c r="BP90" s="99"/>
      <c r="BQ90" s="99"/>
      <c r="BR90" s="99"/>
      <c r="BS90" s="99"/>
      <c r="BT90" s="99"/>
      <c r="BU90" s="99"/>
      <c r="BV90" s="99"/>
      <c r="BW90" s="99"/>
      <c r="BX90" s="99"/>
      <c r="BY90" s="99"/>
      <c r="BZ90" s="99"/>
      <c r="CA90" s="99"/>
      <c r="CB90" s="99"/>
      <c r="CC90" s="99"/>
      <c r="CD90" s="99"/>
      <c r="CE90" s="99"/>
    </row>
    <row r="91" spans="1:83" ht="21.4" customHeight="1" x14ac:dyDescent="0.2">
      <c r="A91" s="19">
        <v>48</v>
      </c>
      <c r="B91" s="10" t="s">
        <v>177</v>
      </c>
      <c r="C91" s="8">
        <v>50</v>
      </c>
      <c r="D91" s="8">
        <v>0</v>
      </c>
      <c r="E91" s="8">
        <v>20</v>
      </c>
      <c r="F91" s="8">
        <v>40</v>
      </c>
      <c r="G91" s="8">
        <v>65</v>
      </c>
      <c r="H91" s="8">
        <v>45</v>
      </c>
      <c r="I91" s="4">
        <f t="shared" si="4"/>
        <v>3.363330803426217</v>
      </c>
      <c r="J91" s="6">
        <f t="shared" si="5"/>
        <v>3.4046066575720442</v>
      </c>
      <c r="K91" s="5">
        <f t="shared" si="8"/>
        <v>125</v>
      </c>
      <c r="L91" s="26">
        <f t="shared" si="6"/>
        <v>36.892622950819671</v>
      </c>
      <c r="M91" s="5">
        <f t="shared" si="9"/>
        <v>1.1776229508196678</v>
      </c>
      <c r="N91" s="4">
        <f t="shared" si="11"/>
        <v>0.61538461538461542</v>
      </c>
      <c r="O91" s="596" t="s">
        <v>483</v>
      </c>
      <c r="P91" s="597"/>
      <c r="Q91" s="597"/>
      <c r="R91" s="597"/>
      <c r="S91" s="598"/>
      <c r="T91" s="456"/>
      <c r="BG91" s="100"/>
      <c r="BH91" s="100"/>
      <c r="BI91" s="100"/>
      <c r="BJ91" s="100"/>
      <c r="BK91" s="100"/>
      <c r="BL91" s="100"/>
      <c r="BM91" s="99"/>
      <c r="BN91" s="99"/>
      <c r="BO91" s="99"/>
      <c r="BP91" s="99"/>
      <c r="BQ91" s="99"/>
      <c r="BR91" s="99"/>
      <c r="BS91" s="99"/>
      <c r="BT91" s="99"/>
      <c r="BU91" s="99"/>
      <c r="BV91" s="99"/>
      <c r="BW91" s="99"/>
      <c r="BX91" s="99"/>
      <c r="BY91" s="99"/>
      <c r="BZ91" s="99"/>
      <c r="CA91" s="99"/>
      <c r="CB91" s="99"/>
      <c r="CC91" s="99"/>
      <c r="CD91" s="99"/>
      <c r="CE91" s="99"/>
    </row>
    <row r="92" spans="1:83" ht="21.4" customHeight="1" x14ac:dyDescent="0.2">
      <c r="A92" s="19">
        <v>49</v>
      </c>
      <c r="B92" s="10" t="s">
        <v>181</v>
      </c>
      <c r="C92" s="8">
        <v>13</v>
      </c>
      <c r="D92" s="8">
        <v>6</v>
      </c>
      <c r="E92" s="8">
        <v>8</v>
      </c>
      <c r="F92" s="8">
        <v>37</v>
      </c>
      <c r="G92" s="8">
        <v>13</v>
      </c>
      <c r="H92" s="8">
        <v>20</v>
      </c>
      <c r="I92" s="4">
        <f t="shared" si="4"/>
        <v>1.4900322998194262</v>
      </c>
      <c r="J92" s="6">
        <f t="shared" si="5"/>
        <v>1.4654158670335344</v>
      </c>
      <c r="K92" s="5">
        <f t="shared" si="8"/>
        <v>57.191358024691354</v>
      </c>
      <c r="L92" s="26">
        <f t="shared" si="6"/>
        <v>16.39672131147541</v>
      </c>
      <c r="M92" s="5">
        <f t="shared" si="9"/>
        <v>3.5834213114754103</v>
      </c>
      <c r="N92" s="4">
        <f t="shared" si="11"/>
        <v>2.8461538461538463</v>
      </c>
      <c r="O92" s="596" t="s">
        <v>474</v>
      </c>
      <c r="P92" s="597"/>
      <c r="Q92" s="597"/>
      <c r="R92" s="597"/>
      <c r="S92" s="598"/>
      <c r="T92" s="456"/>
      <c r="BG92" s="100"/>
      <c r="BH92" s="100"/>
      <c r="BI92" s="100"/>
      <c r="BJ92" s="100"/>
      <c r="BK92" s="100"/>
      <c r="BL92" s="100"/>
      <c r="BM92" s="99"/>
      <c r="BN92" s="99"/>
      <c r="BO92" s="99"/>
      <c r="BP92" s="99"/>
      <c r="BQ92" s="99"/>
      <c r="BR92" s="99"/>
      <c r="BS92" s="99"/>
      <c r="BT92" s="99"/>
      <c r="BU92" s="99"/>
      <c r="BV92" s="99"/>
      <c r="BW92" s="99"/>
      <c r="BX92" s="99"/>
      <c r="BY92" s="99"/>
      <c r="BZ92" s="99"/>
      <c r="CA92" s="99"/>
      <c r="CB92" s="99"/>
      <c r="CC92" s="99"/>
      <c r="CD92" s="99"/>
      <c r="CE92" s="99"/>
    </row>
    <row r="93" spans="1:83" ht="21.4" customHeight="1" x14ac:dyDescent="0.2">
      <c r="A93" s="19">
        <v>50</v>
      </c>
      <c r="B93" s="10" t="s">
        <v>697</v>
      </c>
      <c r="C93" s="8">
        <v>50</v>
      </c>
      <c r="D93" s="8">
        <v>5</v>
      </c>
      <c r="E93" s="8">
        <v>5</v>
      </c>
      <c r="F93" s="8">
        <v>55</v>
      </c>
      <c r="G93" s="8">
        <v>70</v>
      </c>
      <c r="H93" s="8">
        <v>0</v>
      </c>
      <c r="I93" s="4">
        <f t="shared" si="4"/>
        <v>3.1226795241275949</v>
      </c>
      <c r="J93" s="6">
        <f t="shared" si="5"/>
        <v>3.1204454630935587</v>
      </c>
      <c r="K93" s="5">
        <f t="shared" si="8"/>
        <v>145.57613168724279</v>
      </c>
      <c r="L93" s="26">
        <f t="shared" si="6"/>
        <v>0</v>
      </c>
      <c r="M93" s="5">
        <f t="shared" si="9"/>
        <v>-38.654500000000006</v>
      </c>
      <c r="N93" s="4">
        <f t="shared" si="11"/>
        <v>0.7857142857142857</v>
      </c>
      <c r="O93" s="596"/>
      <c r="P93" s="597"/>
      <c r="Q93" s="597"/>
      <c r="R93" s="597"/>
      <c r="S93" s="598"/>
      <c r="T93" s="456"/>
      <c r="BG93" s="100"/>
      <c r="BH93" s="100"/>
      <c r="BI93" s="100"/>
      <c r="BJ93" s="100"/>
      <c r="BK93" s="100"/>
      <c r="BL93" s="100"/>
      <c r="BM93" s="99"/>
      <c r="BN93" s="99"/>
      <c r="BO93" s="99"/>
      <c r="BP93" s="99"/>
      <c r="BQ93" s="99"/>
      <c r="BR93" s="99"/>
      <c r="BS93" s="99"/>
      <c r="BT93" s="99"/>
      <c r="BU93" s="99"/>
      <c r="BV93" s="99"/>
      <c r="BW93" s="99"/>
      <c r="BX93" s="99"/>
      <c r="BY93" s="99"/>
      <c r="BZ93" s="99"/>
      <c r="CA93" s="99"/>
      <c r="CB93" s="99"/>
      <c r="CC93" s="99"/>
      <c r="CD93" s="99"/>
      <c r="CE93" s="99"/>
    </row>
    <row r="94" spans="1:83" ht="21.4" customHeight="1" x14ac:dyDescent="0.2">
      <c r="A94" s="19">
        <v>51</v>
      </c>
      <c r="B94" s="10" t="s">
        <v>234</v>
      </c>
      <c r="C94" s="8">
        <v>50</v>
      </c>
      <c r="D94" s="8">
        <v>7</v>
      </c>
      <c r="E94" s="8">
        <v>5</v>
      </c>
      <c r="F94" s="8">
        <v>75</v>
      </c>
      <c r="G94" s="8">
        <v>60</v>
      </c>
      <c r="H94" s="8">
        <v>0</v>
      </c>
      <c r="I94" s="4">
        <f t="shared" si="4"/>
        <v>3.2872885776255374</v>
      </c>
      <c r="J94" s="6">
        <f t="shared" si="5"/>
        <v>3.255024682651622</v>
      </c>
      <c r="K94" s="5">
        <f t="shared" si="8"/>
        <v>153.80658436213992</v>
      </c>
      <c r="L94" s="26">
        <f t="shared" si="6"/>
        <v>0</v>
      </c>
      <c r="M94" s="5">
        <f t="shared" si="9"/>
        <v>-39.830300000000001</v>
      </c>
      <c r="N94" s="4">
        <f t="shared" si="11"/>
        <v>1.25</v>
      </c>
      <c r="O94" s="596"/>
      <c r="P94" s="597"/>
      <c r="Q94" s="597"/>
      <c r="R94" s="597"/>
      <c r="S94" s="598"/>
      <c r="T94" s="456"/>
      <c r="BG94" s="100"/>
      <c r="BH94" s="100"/>
      <c r="BI94" s="100"/>
      <c r="BJ94" s="100"/>
      <c r="BK94" s="100"/>
      <c r="BL94" s="100"/>
      <c r="BM94" s="99"/>
      <c r="BN94" s="99"/>
      <c r="BO94" s="99"/>
      <c r="BP94" s="99"/>
      <c r="BQ94" s="99"/>
      <c r="BR94" s="99"/>
      <c r="BS94" s="99"/>
      <c r="BT94" s="99"/>
      <c r="BU94" s="99"/>
      <c r="BV94" s="99"/>
      <c r="BW94" s="99"/>
      <c r="BX94" s="99"/>
      <c r="BY94" s="99"/>
      <c r="BZ94" s="99"/>
      <c r="CA94" s="99"/>
      <c r="CB94" s="99"/>
      <c r="CC94" s="99"/>
      <c r="CD94" s="99"/>
      <c r="CE94" s="99"/>
    </row>
    <row r="95" spans="1:83" ht="21.4" customHeight="1" x14ac:dyDescent="0.2">
      <c r="A95" s="19">
        <v>52</v>
      </c>
      <c r="B95" s="10" t="s">
        <v>698</v>
      </c>
      <c r="C95" s="8">
        <v>50</v>
      </c>
      <c r="D95" s="8">
        <v>10</v>
      </c>
      <c r="E95" s="8">
        <v>5</v>
      </c>
      <c r="F95" s="8">
        <v>105</v>
      </c>
      <c r="G95" s="8">
        <v>45</v>
      </c>
      <c r="H95" s="8">
        <v>0</v>
      </c>
      <c r="I95" s="4">
        <f t="shared" si="4"/>
        <v>3.5342021578724507</v>
      </c>
      <c r="J95" s="6">
        <f t="shared" si="5"/>
        <v>3.4568935119887163</v>
      </c>
      <c r="K95" s="5">
        <f t="shared" si="8"/>
        <v>166.15226337448559</v>
      </c>
      <c r="L95" s="26">
        <f t="shared" si="6"/>
        <v>0</v>
      </c>
      <c r="M95" s="5">
        <f t="shared" si="9"/>
        <v>-41.594000000000001</v>
      </c>
      <c r="N95" s="4">
        <f t="shared" si="11"/>
        <v>2.3333333333333335</v>
      </c>
      <c r="O95" s="596"/>
      <c r="P95" s="597"/>
      <c r="Q95" s="597"/>
      <c r="R95" s="597"/>
      <c r="S95" s="598"/>
      <c r="T95" s="456"/>
      <c r="BG95" s="100"/>
      <c r="BH95" s="100"/>
      <c r="BI95" s="100"/>
      <c r="BJ95" s="100"/>
      <c r="BK95" s="100"/>
      <c r="BL95" s="100"/>
      <c r="BM95" s="99"/>
      <c r="BN95" s="99"/>
      <c r="BO95" s="99"/>
      <c r="BP95" s="99"/>
      <c r="BQ95" s="99"/>
      <c r="BR95" s="99"/>
      <c r="BS95" s="99"/>
      <c r="BT95" s="99"/>
      <c r="BU95" s="99"/>
      <c r="BV95" s="99"/>
      <c r="BW95" s="99"/>
      <c r="BX95" s="99"/>
      <c r="BY95" s="99"/>
      <c r="BZ95" s="99"/>
      <c r="CA95" s="99"/>
      <c r="CB95" s="99"/>
      <c r="CC95" s="99"/>
      <c r="CD95" s="99"/>
      <c r="CE95" s="99"/>
    </row>
    <row r="96" spans="1:83" ht="21.4" customHeight="1" x14ac:dyDescent="0.2">
      <c r="A96" s="19">
        <v>53</v>
      </c>
      <c r="B96" s="10" t="s">
        <v>699</v>
      </c>
      <c r="C96" s="8">
        <v>50</v>
      </c>
      <c r="D96" s="8">
        <v>5</v>
      </c>
      <c r="E96" s="8">
        <v>15</v>
      </c>
      <c r="F96" s="8">
        <v>55</v>
      </c>
      <c r="G96" s="8">
        <v>65</v>
      </c>
      <c r="H96" s="8">
        <v>35</v>
      </c>
      <c r="I96" s="4">
        <f t="shared" si="4"/>
        <v>3.5574621328232467</v>
      </c>
      <c r="J96" s="6">
        <f t="shared" si="5"/>
        <v>3.5531722313425353</v>
      </c>
      <c r="K96" s="5">
        <f t="shared" si="8"/>
        <v>145.57613168724279</v>
      </c>
      <c r="L96" s="26">
        <f t="shared" si="6"/>
        <v>28.69426229508197</v>
      </c>
      <c r="M96" s="5">
        <f t="shared" si="9"/>
        <v>-9.9602377049180362</v>
      </c>
      <c r="N96" s="4">
        <f t="shared" si="11"/>
        <v>0.84615384615384615</v>
      </c>
      <c r="O96" s="596"/>
      <c r="P96" s="597"/>
      <c r="Q96" s="597"/>
      <c r="R96" s="597"/>
      <c r="S96" s="598"/>
      <c r="T96" s="456"/>
      <c r="BG96" s="100"/>
      <c r="BH96" s="100"/>
      <c r="BI96" s="100"/>
      <c r="BJ96" s="100"/>
      <c r="BK96" s="100"/>
      <c r="BL96" s="100"/>
      <c r="BM96" s="99"/>
      <c r="BN96" s="99"/>
      <c r="BO96" s="99"/>
      <c r="BP96" s="99"/>
      <c r="BQ96" s="99"/>
      <c r="BR96" s="99"/>
      <c r="BS96" s="99"/>
      <c r="BT96" s="99"/>
      <c r="BU96" s="99"/>
      <c r="BV96" s="99"/>
      <c r="BW96" s="99"/>
      <c r="BX96" s="99"/>
      <c r="BY96" s="99"/>
      <c r="BZ96" s="99"/>
      <c r="CA96" s="99"/>
      <c r="CB96" s="99"/>
      <c r="CC96" s="99"/>
      <c r="CD96" s="99"/>
      <c r="CE96" s="99"/>
    </row>
    <row r="97" spans="1:83" ht="21.4" customHeight="1" x14ac:dyDescent="0.2">
      <c r="A97" s="19">
        <v>54</v>
      </c>
      <c r="B97" s="10" t="s">
        <v>178</v>
      </c>
      <c r="C97" s="8">
        <v>50</v>
      </c>
      <c r="D97" s="8">
        <v>10</v>
      </c>
      <c r="E97" s="8">
        <v>15</v>
      </c>
      <c r="F97" s="8">
        <v>75</v>
      </c>
      <c r="G97" s="8">
        <v>63</v>
      </c>
      <c r="H97" s="8">
        <v>40</v>
      </c>
      <c r="I97" s="4">
        <f t="shared" si="4"/>
        <v>3.9689847665681031</v>
      </c>
      <c r="J97" s="6">
        <f t="shared" si="5"/>
        <v>3.9953886217022356</v>
      </c>
      <c r="K97" s="5">
        <f t="shared" si="8"/>
        <v>166.15226337448559</v>
      </c>
      <c r="L97" s="26">
        <f t="shared" si="6"/>
        <v>32.79344262295082</v>
      </c>
      <c r="M97" s="5">
        <f t="shared" si="9"/>
        <v>-8.8005573770491807</v>
      </c>
      <c r="N97" s="4">
        <f t="shared" si="11"/>
        <v>1.1904761904761905</v>
      </c>
      <c r="O97" s="596"/>
      <c r="P97" s="597"/>
      <c r="Q97" s="597"/>
      <c r="R97" s="597"/>
      <c r="S97" s="598"/>
      <c r="T97" s="456"/>
      <c r="BG97" s="100"/>
      <c r="BH97" s="100"/>
      <c r="BI97" s="100"/>
      <c r="BJ97" s="100"/>
      <c r="BK97" s="100"/>
      <c r="BL97" s="100"/>
      <c r="BM97" s="99"/>
      <c r="BN97" s="99"/>
      <c r="BO97" s="99"/>
      <c r="BP97" s="99"/>
      <c r="BQ97" s="99"/>
      <c r="BR97" s="99"/>
      <c r="BS97" s="99"/>
      <c r="BT97" s="99"/>
      <c r="BU97" s="99"/>
      <c r="BV97" s="99"/>
      <c r="BW97" s="99"/>
      <c r="BX97" s="99"/>
      <c r="BY97" s="99"/>
      <c r="BZ97" s="99"/>
      <c r="CA97" s="99"/>
      <c r="CB97" s="99"/>
      <c r="CC97" s="99"/>
      <c r="CD97" s="99"/>
      <c r="CE97" s="99"/>
    </row>
    <row r="98" spans="1:83" ht="21.4" customHeight="1" x14ac:dyDescent="0.2">
      <c r="A98" s="19">
        <v>55</v>
      </c>
      <c r="B98" s="10" t="s">
        <v>702</v>
      </c>
      <c r="C98" s="8">
        <v>50</v>
      </c>
      <c r="D98" s="8">
        <v>15</v>
      </c>
      <c r="E98" s="8">
        <v>15</v>
      </c>
      <c r="F98" s="8">
        <v>110</v>
      </c>
      <c r="G98" s="8">
        <v>50</v>
      </c>
      <c r="H98" s="8">
        <v>45</v>
      </c>
      <c r="I98" s="4">
        <f t="shared" si="4"/>
        <v>4.3805074003129594</v>
      </c>
      <c r="J98" s="6">
        <f t="shared" si="5"/>
        <v>4.4398088202424715</v>
      </c>
      <c r="K98" s="5">
        <f t="shared" si="8"/>
        <v>186.72839506172841</v>
      </c>
      <c r="L98" s="26">
        <f t="shared" si="6"/>
        <v>36.892622950819671</v>
      </c>
      <c r="M98" s="5">
        <f t="shared" si="9"/>
        <v>-7.6408770491803324</v>
      </c>
      <c r="N98" s="4">
        <f t="shared" si="11"/>
        <v>2.2000000000000002</v>
      </c>
      <c r="O98" s="596"/>
      <c r="P98" s="597"/>
      <c r="Q98" s="597"/>
      <c r="R98" s="597"/>
      <c r="S98" s="598"/>
      <c r="T98" s="456"/>
      <c r="BG98" s="100"/>
      <c r="BH98" s="100"/>
      <c r="BI98" s="100"/>
      <c r="BJ98" s="100"/>
      <c r="BK98" s="100"/>
      <c r="BL98" s="100"/>
      <c r="BM98" s="99"/>
      <c r="BN98" s="99"/>
      <c r="BO98" s="99"/>
      <c r="BP98" s="99"/>
      <c r="BQ98" s="99"/>
      <c r="BR98" s="99"/>
      <c r="BS98" s="99"/>
      <c r="BT98" s="99"/>
      <c r="BU98" s="99"/>
      <c r="BV98" s="99"/>
      <c r="BW98" s="99"/>
      <c r="BX98" s="99"/>
      <c r="BY98" s="99"/>
      <c r="BZ98" s="99"/>
      <c r="CA98" s="99"/>
      <c r="CB98" s="99"/>
      <c r="CC98" s="99"/>
      <c r="CD98" s="99"/>
      <c r="CE98" s="99"/>
    </row>
    <row r="99" spans="1:83" ht="21.4" customHeight="1" x14ac:dyDescent="0.2">
      <c r="A99" s="19">
        <v>56</v>
      </c>
      <c r="B99" s="10" t="s">
        <v>700</v>
      </c>
      <c r="C99" s="8">
        <v>50</v>
      </c>
      <c r="D99" s="8">
        <v>5</v>
      </c>
      <c r="E99" s="8">
        <v>27</v>
      </c>
      <c r="F99" s="8">
        <v>50</v>
      </c>
      <c r="G99" s="8">
        <v>60</v>
      </c>
      <c r="H99" s="8">
        <v>85</v>
      </c>
      <c r="I99" s="4">
        <f t="shared" si="4"/>
        <v>4.0792012632580299</v>
      </c>
      <c r="J99" s="6">
        <f t="shared" si="5"/>
        <v>4.1276339722691082</v>
      </c>
      <c r="K99" s="5">
        <f t="shared" si="8"/>
        <v>145.57613168724279</v>
      </c>
      <c r="L99" s="26">
        <f t="shared" si="6"/>
        <v>69.686065573770492</v>
      </c>
      <c r="M99" s="5">
        <f t="shared" si="9"/>
        <v>31.031565573770486</v>
      </c>
      <c r="N99" s="4">
        <f t="shared" si="11"/>
        <v>0.83333333333333337</v>
      </c>
      <c r="O99" s="596"/>
      <c r="P99" s="597"/>
      <c r="Q99" s="597"/>
      <c r="R99" s="597"/>
      <c r="S99" s="598"/>
      <c r="T99" s="456"/>
      <c r="BG99" s="100"/>
      <c r="BH99" s="100"/>
      <c r="BI99" s="100"/>
      <c r="BJ99" s="100"/>
      <c r="BK99" s="100"/>
      <c r="BL99" s="100"/>
      <c r="BM99" s="99"/>
      <c r="BN99" s="99"/>
      <c r="BO99" s="99"/>
      <c r="BP99" s="99"/>
      <c r="BQ99" s="99"/>
      <c r="BR99" s="99"/>
      <c r="BS99" s="99"/>
      <c r="BT99" s="99"/>
      <c r="BU99" s="99"/>
      <c r="BV99" s="99"/>
      <c r="BW99" s="99"/>
      <c r="BX99" s="99"/>
      <c r="BY99" s="99"/>
      <c r="BZ99" s="99"/>
      <c r="CA99" s="99"/>
      <c r="CB99" s="99"/>
      <c r="CC99" s="99"/>
      <c r="CD99" s="99"/>
      <c r="CE99" s="99"/>
    </row>
    <row r="100" spans="1:83" ht="21.4" customHeight="1" x14ac:dyDescent="0.2">
      <c r="A100" s="19">
        <v>57</v>
      </c>
      <c r="B100" s="10" t="s">
        <v>179</v>
      </c>
      <c r="C100" s="8">
        <v>50</v>
      </c>
      <c r="D100" s="8">
        <v>10</v>
      </c>
      <c r="E100" s="8">
        <v>27</v>
      </c>
      <c r="F100" s="8">
        <v>70</v>
      </c>
      <c r="G100" s="8">
        <v>55</v>
      </c>
      <c r="H100" s="8">
        <v>90</v>
      </c>
      <c r="I100" s="4">
        <f t="shared" si="4"/>
        <v>4.4907238970028853</v>
      </c>
      <c r="J100" s="6">
        <f t="shared" si="5"/>
        <v>4.4852241284962275</v>
      </c>
      <c r="K100" s="5">
        <f t="shared" si="8"/>
        <v>166.15226337448559</v>
      </c>
      <c r="L100" s="26">
        <f t="shared" si="6"/>
        <v>73.785245901639342</v>
      </c>
      <c r="M100" s="5">
        <f t="shared" si="9"/>
        <v>32.191245901639341</v>
      </c>
      <c r="N100" s="4">
        <f t="shared" si="11"/>
        <v>1.2727272727272727</v>
      </c>
      <c r="O100" s="596"/>
      <c r="P100" s="597"/>
      <c r="Q100" s="597"/>
      <c r="R100" s="597"/>
      <c r="S100" s="598"/>
      <c r="T100" s="456"/>
      <c r="BG100" s="100"/>
      <c r="BH100" s="100"/>
      <c r="BI100" s="100"/>
      <c r="BJ100" s="100"/>
      <c r="BK100" s="100"/>
      <c r="BL100" s="100"/>
    </row>
    <row r="101" spans="1:83" ht="21.4" customHeight="1" x14ac:dyDescent="0.2">
      <c r="A101" s="19">
        <v>58</v>
      </c>
      <c r="B101" s="10" t="s">
        <v>703</v>
      </c>
      <c r="C101" s="8">
        <v>50</v>
      </c>
      <c r="D101" s="8">
        <v>15</v>
      </c>
      <c r="E101" s="8">
        <v>27</v>
      </c>
      <c r="F101" s="8">
        <v>99</v>
      </c>
      <c r="G101" s="8">
        <v>45</v>
      </c>
      <c r="H101" s="8">
        <v>95</v>
      </c>
      <c r="I101" s="4">
        <f t="shared" si="4"/>
        <v>4.9022465307477416</v>
      </c>
      <c r="J101" s="6">
        <f t="shared" si="5"/>
        <v>4.8892705611690443</v>
      </c>
      <c r="K101" s="5">
        <f t="shared" si="8"/>
        <v>186.72839506172841</v>
      </c>
      <c r="L101" s="26">
        <f t="shared" si="6"/>
        <v>77.884426229508193</v>
      </c>
      <c r="M101" s="5">
        <f t="shared" si="9"/>
        <v>33.35092622950819</v>
      </c>
      <c r="N101" s="4">
        <f t="shared" si="11"/>
        <v>2.2000000000000002</v>
      </c>
      <c r="O101" s="596"/>
      <c r="P101" s="597"/>
      <c r="Q101" s="597"/>
      <c r="R101" s="597"/>
      <c r="S101" s="598"/>
      <c r="T101" s="456"/>
      <c r="BG101" s="100"/>
      <c r="BH101" s="100"/>
      <c r="BI101" s="100"/>
      <c r="BJ101" s="100"/>
      <c r="BK101" s="100"/>
      <c r="BL101" s="100"/>
    </row>
    <row r="102" spans="1:83" ht="21.4" customHeight="1" x14ac:dyDescent="0.2">
      <c r="A102" s="19">
        <v>59</v>
      </c>
      <c r="B102" s="10" t="s">
        <v>701</v>
      </c>
      <c r="C102" s="8">
        <v>50</v>
      </c>
      <c r="D102" s="8">
        <v>5</v>
      </c>
      <c r="E102" s="8">
        <v>33</v>
      </c>
      <c r="F102" s="8">
        <v>35</v>
      </c>
      <c r="G102" s="8">
        <v>45</v>
      </c>
      <c r="H102" s="8">
        <v>140</v>
      </c>
      <c r="I102" s="4">
        <f t="shared" si="4"/>
        <v>4.3400708284754206</v>
      </c>
      <c r="J102" s="6">
        <f t="shared" si="5"/>
        <v>4.2936421458684979</v>
      </c>
      <c r="K102" s="5">
        <f t="shared" si="8"/>
        <v>145.57613168724279</v>
      </c>
      <c r="L102" s="26">
        <f t="shared" si="6"/>
        <v>114.77704918032788</v>
      </c>
      <c r="M102" s="5">
        <f t="shared" si="9"/>
        <v>76.122549180327866</v>
      </c>
      <c r="N102" s="4">
        <f t="shared" si="11"/>
        <v>0.77777777777777779</v>
      </c>
      <c r="O102" s="596"/>
      <c r="P102" s="597"/>
      <c r="Q102" s="597"/>
      <c r="R102" s="597"/>
      <c r="S102" s="598"/>
      <c r="T102" s="456"/>
      <c r="BG102" s="100"/>
      <c r="BH102" s="100"/>
      <c r="BI102" s="100"/>
      <c r="BJ102" s="100"/>
      <c r="BK102" s="100"/>
      <c r="BL102" s="100"/>
    </row>
    <row r="103" spans="1:83" ht="21.4" customHeight="1" x14ac:dyDescent="0.2">
      <c r="A103" s="19">
        <v>60</v>
      </c>
      <c r="B103" s="10" t="s">
        <v>180</v>
      </c>
      <c r="C103" s="8">
        <v>50</v>
      </c>
      <c r="D103" s="8">
        <v>10</v>
      </c>
      <c r="E103" s="8">
        <v>33</v>
      </c>
      <c r="F103" s="8">
        <v>57</v>
      </c>
      <c r="G103" s="8">
        <v>44</v>
      </c>
      <c r="H103" s="8">
        <v>142</v>
      </c>
      <c r="I103" s="4">
        <f t="shared" si="4"/>
        <v>4.7515934622202769</v>
      </c>
      <c r="J103" s="6">
        <f t="shared" si="5"/>
        <v>4.7565536197368719</v>
      </c>
      <c r="K103" s="5">
        <f t="shared" si="8"/>
        <v>166.15226337448559</v>
      </c>
      <c r="L103" s="26">
        <f t="shared" si="6"/>
        <v>116.41672131147541</v>
      </c>
      <c r="M103" s="5">
        <f t="shared" si="9"/>
        <v>74.822721311475419</v>
      </c>
      <c r="N103" s="4">
        <f t="shared" si="11"/>
        <v>1.2954545454545454</v>
      </c>
      <c r="O103" s="596"/>
      <c r="P103" s="597"/>
      <c r="Q103" s="597"/>
      <c r="R103" s="597"/>
      <c r="S103" s="598"/>
      <c r="T103" s="456"/>
      <c r="BG103" s="100"/>
      <c r="BH103" s="100"/>
      <c r="BI103" s="100"/>
      <c r="BJ103" s="100"/>
      <c r="BK103" s="100"/>
      <c r="BL103" s="100"/>
    </row>
    <row r="104" spans="1:83" ht="21.4" customHeight="1" x14ac:dyDescent="0.2">
      <c r="A104" s="19">
        <v>61</v>
      </c>
      <c r="B104" s="10" t="s">
        <v>704</v>
      </c>
      <c r="C104" s="8">
        <v>50</v>
      </c>
      <c r="D104" s="8">
        <v>15</v>
      </c>
      <c r="E104" s="8">
        <v>33</v>
      </c>
      <c r="F104" s="8">
        <v>84</v>
      </c>
      <c r="G104" s="8">
        <v>39</v>
      </c>
      <c r="H104" s="8">
        <v>145</v>
      </c>
      <c r="I104" s="4">
        <f t="shared" si="4"/>
        <v>5.1631160959651332</v>
      </c>
      <c r="J104" s="6">
        <f t="shared" si="5"/>
        <v>5.2271902240514239</v>
      </c>
      <c r="K104" s="5">
        <f t="shared" si="8"/>
        <v>186.72839506172841</v>
      </c>
      <c r="L104" s="26">
        <f t="shared" si="6"/>
        <v>118.87622950819672</v>
      </c>
      <c r="M104" s="5">
        <f t="shared" si="9"/>
        <v>74.342729508196712</v>
      </c>
      <c r="N104" s="4">
        <f t="shared" si="11"/>
        <v>2.1538461538461537</v>
      </c>
      <c r="O104" s="596"/>
      <c r="P104" s="597"/>
      <c r="Q104" s="597"/>
      <c r="R104" s="597"/>
      <c r="S104" s="598"/>
      <c r="T104" s="456"/>
      <c r="BG104" s="100"/>
      <c r="BH104" s="100"/>
      <c r="BI104" s="100"/>
      <c r="BJ104" s="100"/>
      <c r="BK104" s="100"/>
      <c r="BL104" s="100"/>
    </row>
    <row r="105" spans="1:83" ht="21.4" customHeight="1" x14ac:dyDescent="0.2">
      <c r="A105" s="19">
        <v>62</v>
      </c>
      <c r="B105" s="10" t="s">
        <v>470</v>
      </c>
      <c r="C105" s="8">
        <v>20</v>
      </c>
      <c r="D105" s="8">
        <v>0</v>
      </c>
      <c r="E105" s="8">
        <v>8</v>
      </c>
      <c r="F105" s="8">
        <v>15</v>
      </c>
      <c r="G105" s="8">
        <v>35</v>
      </c>
      <c r="H105" s="8">
        <v>0</v>
      </c>
      <c r="I105" s="4">
        <f t="shared" si="4"/>
        <v>1.3453323213704866</v>
      </c>
      <c r="J105" s="6">
        <f t="shared" si="5"/>
        <v>1.2998060648801126</v>
      </c>
      <c r="K105" s="5">
        <f>((C105/20)+(D105/12.15))*50</f>
        <v>50</v>
      </c>
      <c r="L105" s="26">
        <f t="shared" si="6"/>
        <v>0</v>
      </c>
      <c r="M105" s="5">
        <f>(L105-((C105*0.7143)+(D105*0.5879)))</f>
        <v>-14.286000000000001</v>
      </c>
      <c r="N105" s="4">
        <f t="shared" si="11"/>
        <v>0.42857142857142855</v>
      </c>
      <c r="O105" s="596" t="s">
        <v>566</v>
      </c>
      <c r="P105" s="597"/>
      <c r="Q105" s="597"/>
      <c r="R105" s="597"/>
      <c r="S105" s="598"/>
      <c r="T105" s="456"/>
      <c r="BG105" s="100"/>
      <c r="BH105" s="100"/>
      <c r="BI105" s="100"/>
      <c r="BJ105" s="100"/>
      <c r="BK105" s="100"/>
      <c r="BL105" s="100"/>
    </row>
    <row r="106" spans="1:83" ht="21.4" customHeight="1" x14ac:dyDescent="0.2">
      <c r="A106" s="19">
        <v>63</v>
      </c>
      <c r="B106" s="10" t="s">
        <v>497</v>
      </c>
      <c r="C106" s="8">
        <v>46</v>
      </c>
      <c r="D106" s="8">
        <v>5</v>
      </c>
      <c r="E106" s="8">
        <v>15</v>
      </c>
      <c r="F106" s="8">
        <v>75</v>
      </c>
      <c r="G106" s="8">
        <v>30</v>
      </c>
      <c r="H106" s="8">
        <v>60</v>
      </c>
      <c r="I106" s="4">
        <f t="shared" si="4"/>
        <v>3.3579608859404537</v>
      </c>
      <c r="J106" s="6">
        <f t="shared" si="5"/>
        <v>3.3923688987028604</v>
      </c>
      <c r="K106" s="5">
        <f>((C106/20)+(D106/12.15))*50</f>
        <v>135.57613168724279</v>
      </c>
      <c r="L106" s="26">
        <f t="shared" si="6"/>
        <v>49.190163934426231</v>
      </c>
      <c r="M106" s="5">
        <f>(L106-((C106*0.7143)+(D106*0.5879)))</f>
        <v>13.392863934426224</v>
      </c>
      <c r="N106" s="4">
        <f t="shared" si="11"/>
        <v>2.5</v>
      </c>
      <c r="O106" s="596" t="s">
        <v>498</v>
      </c>
      <c r="P106" s="597"/>
      <c r="Q106" s="597"/>
      <c r="R106" s="597"/>
      <c r="S106" s="598"/>
      <c r="T106" s="456"/>
      <c r="BG106" s="100"/>
      <c r="BH106" s="100"/>
      <c r="BI106" s="100"/>
      <c r="BJ106" s="100"/>
      <c r="BK106" s="100"/>
      <c r="BL106" s="100"/>
    </row>
    <row r="107" spans="1:83" ht="21.4" customHeight="1" x14ac:dyDescent="0.2">
      <c r="A107" s="19">
        <v>64</v>
      </c>
      <c r="B107" s="10" t="s">
        <v>499</v>
      </c>
      <c r="C107" s="8">
        <v>18</v>
      </c>
      <c r="D107" s="8">
        <v>2</v>
      </c>
      <c r="E107" s="8">
        <v>13</v>
      </c>
      <c r="F107" s="8">
        <v>22</v>
      </c>
      <c r="G107" s="8">
        <v>20</v>
      </c>
      <c r="H107" s="8">
        <v>35</v>
      </c>
      <c r="I107" s="4">
        <f t="shared" si="4"/>
        <v>1.6275820557748588</v>
      </c>
      <c r="J107" s="6">
        <f t="shared" si="5"/>
        <v>1.596278719353819</v>
      </c>
      <c r="K107" s="5">
        <f>((C107/20)+(D107/12.15))*50</f>
        <v>53.230452674897123</v>
      </c>
      <c r="L107" s="26">
        <f t="shared" si="6"/>
        <v>28.69426229508197</v>
      </c>
      <c r="M107" s="5">
        <f>(L107-((C107*0.7143)+(D107*0.5879)))</f>
        <v>14.661062295081969</v>
      </c>
      <c r="N107" s="4">
        <f t="shared" si="11"/>
        <v>1.1000000000000001</v>
      </c>
      <c r="O107" s="596" t="s">
        <v>881</v>
      </c>
      <c r="P107" s="597"/>
      <c r="Q107" s="597"/>
      <c r="R107" s="597"/>
      <c r="S107" s="598"/>
      <c r="T107" s="456"/>
      <c r="BG107" s="100"/>
      <c r="BH107" s="100"/>
      <c r="BI107" s="100"/>
      <c r="BJ107" s="100"/>
      <c r="BK107" s="100"/>
      <c r="BL107" s="100"/>
    </row>
    <row r="108" spans="1:83" ht="21.4" customHeight="1" x14ac:dyDescent="0.2">
      <c r="A108" s="19">
        <v>65</v>
      </c>
      <c r="B108" s="10" t="s">
        <v>458</v>
      </c>
      <c r="C108" s="8">
        <v>255</v>
      </c>
      <c r="D108" s="8">
        <v>40</v>
      </c>
      <c r="E108" s="8">
        <v>25</v>
      </c>
      <c r="F108" s="8">
        <v>610</v>
      </c>
      <c r="G108" s="8">
        <v>35</v>
      </c>
      <c r="H108" s="8">
        <v>210</v>
      </c>
      <c r="I108" s="4">
        <f>(C108/20.05)+(D108/12.15)+(E108/23)</f>
        <v>17.097342080476032</v>
      </c>
      <c r="J108" s="6">
        <f>(H108/61)+(F108/48)+(G108/35.45)</f>
        <v>17.138262349033116</v>
      </c>
      <c r="K108" s="5">
        <f>((C108/20)+(D108/12.15))*50</f>
        <v>802.10905349794234</v>
      </c>
      <c r="L108" s="26">
        <f>H108*(50/61)*(1+(2*10^-4))</f>
        <v>172.16557377049182</v>
      </c>
      <c r="M108" s="5">
        <f>(L108-((C108*0.7143)+(D108*0.5879)))</f>
        <v>-33.496926229508176</v>
      </c>
      <c r="N108" s="4">
        <f t="shared" si="11"/>
        <v>17.428571428571427</v>
      </c>
      <c r="O108" s="323"/>
      <c r="P108" s="324"/>
      <c r="Q108" s="324"/>
      <c r="R108" s="421"/>
      <c r="S108" s="422"/>
      <c r="T108" s="456"/>
      <c r="BG108" s="100"/>
      <c r="BH108" s="100"/>
      <c r="BI108" s="100"/>
      <c r="BJ108" s="100"/>
      <c r="BK108" s="100"/>
      <c r="BL108" s="100"/>
    </row>
    <row r="109" spans="1:83" ht="21.4" customHeight="1" x14ac:dyDescent="0.2">
      <c r="A109" s="19">
        <v>66</v>
      </c>
      <c r="B109" s="10" t="s">
        <v>971</v>
      </c>
      <c r="C109" s="8">
        <v>37</v>
      </c>
      <c r="D109" s="8">
        <v>10</v>
      </c>
      <c r="E109" s="8">
        <v>25</v>
      </c>
      <c r="F109" s="8">
        <v>70</v>
      </c>
      <c r="G109" s="8">
        <v>35</v>
      </c>
      <c r="H109" s="8">
        <v>80</v>
      </c>
      <c r="I109" s="4">
        <f t="shared" ref="I109:I116" si="12">(C109/20.05)+(D109/12.15)+(E109/23)</f>
        <v>3.7553883228946776</v>
      </c>
      <c r="J109" s="6">
        <f t="shared" ref="J109:J116" si="13">(H109/61)+(F109/48)+(G109/35.45)</f>
        <v>3.7571148080495114</v>
      </c>
      <c r="K109" s="5">
        <f t="shared" ref="K109:K116" si="14">((C109/20)+(D109/12.15))*50</f>
        <v>133.65226337448561</v>
      </c>
      <c r="L109" s="26">
        <f t="shared" ref="L109:L116" si="15">H109*(50/61)*(1+(2*10^-4))</f>
        <v>65.586885245901641</v>
      </c>
      <c r="M109" s="5">
        <f t="shared" ref="M109:M116" si="16">(L109-((C109*0.7143)+(D109*0.5879)))</f>
        <v>33.278785245901638</v>
      </c>
      <c r="N109" s="4">
        <f t="shared" ref="N109:N116" si="17">IF(G109&lt;=0,0,F109/G109)</f>
        <v>2</v>
      </c>
      <c r="O109" s="323" t="s">
        <v>993</v>
      </c>
      <c r="P109" s="324"/>
      <c r="Q109" s="324"/>
      <c r="R109" s="421"/>
      <c r="S109" s="422"/>
      <c r="T109" s="456"/>
      <c r="BG109" s="100"/>
      <c r="BH109" s="100"/>
      <c r="BI109" s="100"/>
      <c r="BJ109" s="100"/>
      <c r="BK109" s="100"/>
      <c r="BL109" s="100"/>
    </row>
    <row r="110" spans="1:83" ht="21.4" customHeight="1" x14ac:dyDescent="0.2">
      <c r="A110" s="19">
        <v>67</v>
      </c>
      <c r="B110" s="10" t="s">
        <v>981</v>
      </c>
      <c r="C110" s="8">
        <v>105</v>
      </c>
      <c r="D110" s="8">
        <v>0</v>
      </c>
      <c r="E110" s="8">
        <v>12</v>
      </c>
      <c r="F110" s="8">
        <v>75</v>
      </c>
      <c r="G110" s="8">
        <v>150</v>
      </c>
      <c r="H110" s="8">
        <v>0</v>
      </c>
      <c r="I110" s="4">
        <f t="shared" si="12"/>
        <v>5.7586468611080992</v>
      </c>
      <c r="J110" s="6">
        <f t="shared" si="13"/>
        <v>5.7938117066290546</v>
      </c>
      <c r="K110" s="5">
        <f t="shared" si="14"/>
        <v>262.5</v>
      </c>
      <c r="L110" s="26">
        <f t="shared" si="15"/>
        <v>0</v>
      </c>
      <c r="M110" s="5">
        <f t="shared" si="16"/>
        <v>-75.001500000000007</v>
      </c>
      <c r="N110" s="4">
        <f t="shared" si="17"/>
        <v>0.5</v>
      </c>
      <c r="O110" s="323" t="s">
        <v>982</v>
      </c>
      <c r="P110" s="324"/>
      <c r="Q110" s="324"/>
      <c r="R110" s="421"/>
      <c r="S110" s="422"/>
      <c r="T110" s="456"/>
      <c r="BG110" s="100"/>
      <c r="BH110" s="100"/>
      <c r="BI110" s="100"/>
      <c r="BJ110" s="100"/>
      <c r="BK110" s="100"/>
      <c r="BL110" s="100"/>
    </row>
    <row r="111" spans="1:83" ht="21.4" customHeight="1" x14ac:dyDescent="0.2">
      <c r="A111" s="19">
        <v>68</v>
      </c>
      <c r="B111" s="10" t="s">
        <v>1006</v>
      </c>
      <c r="C111" s="8">
        <v>15</v>
      </c>
      <c r="D111" s="8">
        <v>26</v>
      </c>
      <c r="E111" s="8">
        <v>78</v>
      </c>
      <c r="F111" s="8">
        <v>140</v>
      </c>
      <c r="G111" s="8">
        <v>120</v>
      </c>
      <c r="H111" s="8">
        <v>0</v>
      </c>
      <c r="I111" s="4">
        <f t="shared" si="12"/>
        <v>6.2793517191098118</v>
      </c>
      <c r="J111" s="6">
        <f t="shared" si="13"/>
        <v>6.3017160319699101</v>
      </c>
      <c r="K111" s="5">
        <f t="shared" si="14"/>
        <v>144.49588477366257</v>
      </c>
      <c r="L111" s="26">
        <f t="shared" si="15"/>
        <v>0</v>
      </c>
      <c r="M111" s="5">
        <f t="shared" si="16"/>
        <v>-25.9999</v>
      </c>
      <c r="N111" s="4">
        <f t="shared" si="17"/>
        <v>1.1666666666666667</v>
      </c>
      <c r="O111" s="323"/>
      <c r="P111" s="324"/>
      <c r="Q111" s="324"/>
      <c r="R111" s="421"/>
      <c r="S111" s="422"/>
      <c r="T111" s="456"/>
      <c r="BG111" s="100"/>
      <c r="BH111" s="100"/>
      <c r="BI111" s="100"/>
      <c r="BJ111" s="100"/>
      <c r="BK111" s="100"/>
      <c r="BL111" s="100"/>
    </row>
    <row r="112" spans="1:83" ht="21.4" customHeight="1" x14ac:dyDescent="0.2">
      <c r="A112" s="19">
        <v>69</v>
      </c>
      <c r="B112" s="10" t="s">
        <v>26</v>
      </c>
      <c r="C112" s="8">
        <v>0</v>
      </c>
      <c r="D112" s="8">
        <v>0</v>
      </c>
      <c r="E112" s="8">
        <v>0</v>
      </c>
      <c r="F112" s="8">
        <v>0</v>
      </c>
      <c r="G112" s="8">
        <v>0</v>
      </c>
      <c r="H112" s="8">
        <v>0</v>
      </c>
      <c r="I112" s="4">
        <f t="shared" si="12"/>
        <v>0</v>
      </c>
      <c r="J112" s="6">
        <f t="shared" si="13"/>
        <v>0</v>
      </c>
      <c r="K112" s="5">
        <f t="shared" si="14"/>
        <v>0</v>
      </c>
      <c r="L112" s="26">
        <f t="shared" si="15"/>
        <v>0</v>
      </c>
      <c r="M112" s="5">
        <f t="shared" si="16"/>
        <v>0</v>
      </c>
      <c r="N112" s="4">
        <f t="shared" si="17"/>
        <v>0</v>
      </c>
      <c r="O112" s="323"/>
      <c r="P112" s="324"/>
      <c r="Q112" s="324"/>
      <c r="R112" s="421"/>
      <c r="S112" s="422"/>
      <c r="T112" s="456"/>
      <c r="BG112" s="100"/>
      <c r="BH112" s="100"/>
      <c r="BI112" s="100"/>
      <c r="BJ112" s="100"/>
      <c r="BK112" s="100"/>
      <c r="BL112" s="100"/>
    </row>
    <row r="113" spans="1:64" ht="21.4" customHeight="1" x14ac:dyDescent="0.2">
      <c r="A113" s="19">
        <v>70</v>
      </c>
      <c r="B113" s="10" t="s">
        <v>26</v>
      </c>
      <c r="C113" s="8">
        <v>0</v>
      </c>
      <c r="D113" s="8">
        <v>0</v>
      </c>
      <c r="E113" s="8">
        <v>0</v>
      </c>
      <c r="F113" s="8">
        <v>0</v>
      </c>
      <c r="G113" s="8">
        <v>0</v>
      </c>
      <c r="H113" s="8">
        <v>0</v>
      </c>
      <c r="I113" s="4">
        <f t="shared" si="12"/>
        <v>0</v>
      </c>
      <c r="J113" s="6">
        <f t="shared" si="13"/>
        <v>0</v>
      </c>
      <c r="K113" s="5">
        <f t="shared" si="14"/>
        <v>0</v>
      </c>
      <c r="L113" s="26">
        <f t="shared" si="15"/>
        <v>0</v>
      </c>
      <c r="M113" s="5">
        <f t="shared" si="16"/>
        <v>0</v>
      </c>
      <c r="N113" s="4">
        <f t="shared" si="17"/>
        <v>0</v>
      </c>
      <c r="O113" s="323"/>
      <c r="P113" s="324"/>
      <c r="Q113" s="324"/>
      <c r="R113" s="421"/>
      <c r="S113" s="422"/>
      <c r="T113" s="456"/>
      <c r="BG113" s="100"/>
      <c r="BH113" s="100"/>
      <c r="BI113" s="100"/>
      <c r="BJ113" s="100"/>
      <c r="BK113" s="100"/>
      <c r="BL113" s="100"/>
    </row>
    <row r="114" spans="1:64" ht="21.4" customHeight="1" x14ac:dyDescent="0.2">
      <c r="A114" s="19">
        <v>71</v>
      </c>
      <c r="B114" s="10" t="s">
        <v>26</v>
      </c>
      <c r="C114" s="8">
        <v>0</v>
      </c>
      <c r="D114" s="8">
        <v>0</v>
      </c>
      <c r="E114" s="8">
        <v>0</v>
      </c>
      <c r="F114" s="8">
        <v>0</v>
      </c>
      <c r="G114" s="8">
        <v>0</v>
      </c>
      <c r="H114" s="8">
        <v>0</v>
      </c>
      <c r="I114" s="4">
        <f t="shared" si="12"/>
        <v>0</v>
      </c>
      <c r="J114" s="6">
        <f t="shared" si="13"/>
        <v>0</v>
      </c>
      <c r="K114" s="5">
        <f t="shared" si="14"/>
        <v>0</v>
      </c>
      <c r="L114" s="26">
        <f t="shared" si="15"/>
        <v>0</v>
      </c>
      <c r="M114" s="5">
        <f t="shared" si="16"/>
        <v>0</v>
      </c>
      <c r="N114" s="4">
        <f t="shared" si="17"/>
        <v>0</v>
      </c>
      <c r="O114" s="323"/>
      <c r="P114" s="324"/>
      <c r="Q114" s="324"/>
      <c r="R114" s="421"/>
      <c r="S114" s="422"/>
      <c r="T114" s="456"/>
      <c r="BG114" s="100"/>
      <c r="BH114" s="100"/>
      <c r="BI114" s="100"/>
      <c r="BJ114" s="100"/>
      <c r="BK114" s="100"/>
      <c r="BL114" s="100"/>
    </row>
    <row r="115" spans="1:64" ht="21.4" customHeight="1" x14ac:dyDescent="0.2">
      <c r="A115" s="19">
        <v>72</v>
      </c>
      <c r="B115" s="10" t="s">
        <v>26</v>
      </c>
      <c r="C115" s="8">
        <v>0</v>
      </c>
      <c r="D115" s="8">
        <v>0</v>
      </c>
      <c r="E115" s="8">
        <v>0</v>
      </c>
      <c r="F115" s="8">
        <v>0</v>
      </c>
      <c r="G115" s="8">
        <v>0</v>
      </c>
      <c r="H115" s="8">
        <v>0</v>
      </c>
      <c r="I115" s="4">
        <f t="shared" si="12"/>
        <v>0</v>
      </c>
      <c r="J115" s="6">
        <f t="shared" si="13"/>
        <v>0</v>
      </c>
      <c r="K115" s="5">
        <f t="shared" si="14"/>
        <v>0</v>
      </c>
      <c r="L115" s="26">
        <f t="shared" si="15"/>
        <v>0</v>
      </c>
      <c r="M115" s="5">
        <f t="shared" si="16"/>
        <v>0</v>
      </c>
      <c r="N115" s="4">
        <f t="shared" si="17"/>
        <v>0</v>
      </c>
      <c r="O115" s="323"/>
      <c r="P115" s="324"/>
      <c r="Q115" s="324"/>
      <c r="R115" s="421"/>
      <c r="S115" s="422"/>
      <c r="T115" s="456"/>
      <c r="BG115" s="100"/>
      <c r="BH115" s="100"/>
      <c r="BI115" s="100"/>
      <c r="BJ115" s="100"/>
      <c r="BK115" s="100"/>
      <c r="BL115" s="100"/>
    </row>
    <row r="116" spans="1:64" ht="21.4" customHeight="1" x14ac:dyDescent="0.2">
      <c r="A116" s="19">
        <v>73</v>
      </c>
      <c r="B116" s="10" t="s">
        <v>26</v>
      </c>
      <c r="C116" s="8">
        <v>0</v>
      </c>
      <c r="D116" s="8">
        <v>0</v>
      </c>
      <c r="E116" s="8">
        <v>0</v>
      </c>
      <c r="F116" s="8">
        <v>0</v>
      </c>
      <c r="G116" s="8">
        <v>0</v>
      </c>
      <c r="H116" s="8">
        <v>0</v>
      </c>
      <c r="I116" s="4">
        <f t="shared" si="12"/>
        <v>0</v>
      </c>
      <c r="J116" s="6">
        <f t="shared" si="13"/>
        <v>0</v>
      </c>
      <c r="K116" s="5">
        <f t="shared" si="14"/>
        <v>0</v>
      </c>
      <c r="L116" s="26">
        <f t="shared" si="15"/>
        <v>0</v>
      </c>
      <c r="M116" s="5">
        <f t="shared" si="16"/>
        <v>0</v>
      </c>
      <c r="N116" s="4">
        <f t="shared" si="17"/>
        <v>0</v>
      </c>
      <c r="O116" s="323"/>
      <c r="P116" s="324"/>
      <c r="Q116" s="324"/>
      <c r="R116" s="421"/>
      <c r="S116" s="422"/>
      <c r="T116" s="456"/>
      <c r="BG116" s="100"/>
      <c r="BH116" s="100"/>
      <c r="BI116" s="100"/>
      <c r="BJ116" s="100"/>
      <c r="BK116" s="100"/>
      <c r="BL116" s="100"/>
    </row>
    <row r="117" spans="1:64" ht="21.4" customHeight="1" x14ac:dyDescent="0.2">
      <c r="A117" s="19">
        <v>74</v>
      </c>
      <c r="B117" s="10" t="s">
        <v>26</v>
      </c>
      <c r="C117" s="8">
        <v>0</v>
      </c>
      <c r="D117" s="8">
        <v>0</v>
      </c>
      <c r="E117" s="8">
        <v>0</v>
      </c>
      <c r="F117" s="8">
        <v>0</v>
      </c>
      <c r="G117" s="8">
        <v>0</v>
      </c>
      <c r="H117" s="8">
        <v>0</v>
      </c>
      <c r="I117" s="4">
        <f>(C117/20.05)+(D117/12.15)+(E117/23)</f>
        <v>0</v>
      </c>
      <c r="J117" s="6">
        <f>(H117/61)+(F117/48)+(G117/35.45)</f>
        <v>0</v>
      </c>
      <c r="K117" s="5">
        <f>((C117/20)+(D117/12.15))*50</f>
        <v>0</v>
      </c>
      <c r="L117" s="26">
        <f>H117*(50/61)*(1+(2*10^-4))</f>
        <v>0</v>
      </c>
      <c r="M117" s="5">
        <f>(L117-((C117*0.7143)+(D117*0.5879)))</f>
        <v>0</v>
      </c>
      <c r="N117" s="4">
        <f>IF(G117&lt;=0,0,F117/G117)</f>
        <v>0</v>
      </c>
      <c r="O117" s="596"/>
      <c r="P117" s="597"/>
      <c r="Q117" s="597"/>
      <c r="R117" s="597"/>
      <c r="S117" s="598"/>
      <c r="T117" s="456"/>
      <c r="BG117" s="100"/>
      <c r="BH117" s="100"/>
      <c r="BI117" s="100"/>
      <c r="BJ117" s="100"/>
      <c r="BK117" s="100"/>
      <c r="BL117" s="100"/>
    </row>
    <row r="118" spans="1:64" ht="21.4" customHeight="1" x14ac:dyDescent="0.2">
      <c r="A118" s="19">
        <v>75</v>
      </c>
      <c r="B118" s="10" t="s">
        <v>26</v>
      </c>
      <c r="C118" s="8">
        <v>0</v>
      </c>
      <c r="D118" s="8">
        <v>0</v>
      </c>
      <c r="E118" s="8">
        <v>0</v>
      </c>
      <c r="F118" s="8">
        <v>0</v>
      </c>
      <c r="G118" s="8">
        <v>0</v>
      </c>
      <c r="H118" s="8">
        <v>0</v>
      </c>
      <c r="I118" s="4">
        <f>(C118/20.05)+(D118/12.15)+(E118/23)</f>
        <v>0</v>
      </c>
      <c r="J118" s="6">
        <f>(H118/61)+(F118/48)+(G118/35.45)</f>
        <v>0</v>
      </c>
      <c r="K118" s="5">
        <f>((C118/20)+(D118/12.15))*50</f>
        <v>0</v>
      </c>
      <c r="L118" s="26">
        <f>H118*(50/61)*(1+(2*10^-4))</f>
        <v>0</v>
      </c>
      <c r="M118" s="5">
        <f>(L118-((C118*0.7143)+(D118*0.5879)))</f>
        <v>0</v>
      </c>
      <c r="N118" s="4">
        <f>IF(G118&lt;=0,0,F118/G118)</f>
        <v>0</v>
      </c>
      <c r="O118" s="596"/>
      <c r="P118" s="597"/>
      <c r="Q118" s="597"/>
      <c r="R118" s="597"/>
      <c r="S118" s="598"/>
      <c r="T118" s="456"/>
      <c r="BG118" s="100"/>
      <c r="BH118" s="100"/>
      <c r="BI118" s="100"/>
      <c r="BJ118" s="100"/>
      <c r="BK118" s="100"/>
      <c r="BL118" s="100"/>
    </row>
    <row r="119" spans="1:64" x14ac:dyDescent="0.2">
      <c r="B119" s="19" t="s">
        <v>186</v>
      </c>
      <c r="O119" s="107"/>
      <c r="P119" s="100"/>
      <c r="Q119" s="100"/>
      <c r="BG119" s="100"/>
      <c r="BH119" s="100"/>
      <c r="BI119" s="100"/>
      <c r="BJ119" s="100"/>
      <c r="BK119" s="100"/>
      <c r="BL119" s="100"/>
    </row>
    <row r="120" spans="1:64" x14ac:dyDescent="0.2">
      <c r="O120" s="107"/>
      <c r="P120" s="100"/>
      <c r="Q120" s="100"/>
      <c r="BG120" s="100"/>
      <c r="BH120" s="100"/>
      <c r="BI120" s="100"/>
      <c r="BJ120" s="100"/>
      <c r="BK120" s="100"/>
      <c r="BL120" s="100"/>
    </row>
    <row r="121" spans="1:64" x14ac:dyDescent="0.2">
      <c r="B121" s="19" t="s">
        <v>418</v>
      </c>
      <c r="O121" s="107"/>
      <c r="P121" s="100"/>
      <c r="Q121" s="100"/>
      <c r="BG121" s="100"/>
      <c r="BH121" s="100"/>
      <c r="BI121" s="100"/>
      <c r="BJ121" s="100"/>
      <c r="BK121" s="100"/>
      <c r="BL121" s="100"/>
    </row>
    <row r="122" spans="1:64" ht="24.6" customHeight="1" x14ac:dyDescent="0.2">
      <c r="B122" s="29" t="s">
        <v>212</v>
      </c>
      <c r="C122" s="29" t="s">
        <v>119</v>
      </c>
      <c r="D122" s="29" t="s">
        <v>118</v>
      </c>
      <c r="E122" s="29" t="s">
        <v>120</v>
      </c>
      <c r="F122" s="29" t="s">
        <v>121</v>
      </c>
      <c r="G122" s="29" t="s">
        <v>122</v>
      </c>
      <c r="H122" s="29" t="s">
        <v>123</v>
      </c>
      <c r="I122" s="29" t="s">
        <v>125</v>
      </c>
      <c r="J122" s="29" t="s">
        <v>126</v>
      </c>
      <c r="K122" s="30" t="s">
        <v>127</v>
      </c>
      <c r="L122" s="29" t="s">
        <v>174</v>
      </c>
      <c r="M122" s="29" t="s">
        <v>175</v>
      </c>
      <c r="N122" s="27" t="s">
        <v>293</v>
      </c>
      <c r="O122" s="106"/>
      <c r="P122" s="100"/>
      <c r="Q122" s="99"/>
      <c r="U122" s="279"/>
      <c r="V122" s="455"/>
      <c r="BG122" s="100"/>
      <c r="BH122" s="100"/>
      <c r="BI122" s="100"/>
      <c r="BJ122" s="100"/>
      <c r="BK122" s="100"/>
      <c r="BL122" s="100"/>
    </row>
    <row r="123" spans="1:64" ht="16.5" customHeight="1" x14ac:dyDescent="0.2">
      <c r="A123" s="19">
        <v>1</v>
      </c>
      <c r="B123" s="10" t="s">
        <v>196</v>
      </c>
      <c r="C123" s="10">
        <v>0</v>
      </c>
      <c r="D123" s="10">
        <v>0</v>
      </c>
      <c r="E123" s="10">
        <v>0</v>
      </c>
      <c r="F123" s="10">
        <v>0</v>
      </c>
      <c r="G123" s="10">
        <v>0</v>
      </c>
      <c r="H123" s="10">
        <v>0</v>
      </c>
      <c r="I123" s="4">
        <f>(C123/20.05)+(D123/12.15)+(E123/23)</f>
        <v>0</v>
      </c>
      <c r="J123" s="6">
        <f>(H123/61)+(F123/48)+(G123/35.45)</f>
        <v>0</v>
      </c>
      <c r="K123" s="5">
        <f>((C123/20)+(D123/12.15))*50</f>
        <v>0</v>
      </c>
      <c r="L123" s="26">
        <f>H123*(50/61)*(1+(2*10^-4))</f>
        <v>0</v>
      </c>
      <c r="M123" s="5">
        <f>(L123-((C123*0.7143)+(D123*0.5879)))</f>
        <v>0</v>
      </c>
      <c r="N123" s="4">
        <f>IF(F123&lt;=0,0,F123/G123)</f>
        <v>0</v>
      </c>
      <c r="O123" s="691" t="s">
        <v>945</v>
      </c>
      <c r="P123" s="691"/>
      <c r="Q123" s="691"/>
      <c r="R123" s="691"/>
      <c r="S123" s="691"/>
      <c r="U123" s="279"/>
      <c r="V123" s="455"/>
      <c r="BG123" s="100"/>
      <c r="BH123" s="100"/>
      <c r="BI123" s="100"/>
      <c r="BJ123" s="100"/>
      <c r="BK123" s="100"/>
      <c r="BL123" s="100"/>
    </row>
    <row r="124" spans="1:64" ht="16.5" customHeight="1" x14ac:dyDescent="0.2">
      <c r="A124" s="19">
        <v>2</v>
      </c>
      <c r="B124" s="10" t="s">
        <v>155</v>
      </c>
      <c r="C124" s="10">
        <v>1</v>
      </c>
      <c r="D124" s="10">
        <v>0</v>
      </c>
      <c r="E124" s="10">
        <v>8</v>
      </c>
      <c r="F124" s="10">
        <v>1</v>
      </c>
      <c r="G124" s="10">
        <v>4</v>
      </c>
      <c r="H124" s="10">
        <v>16</v>
      </c>
      <c r="I124" s="4">
        <f>(C124/20.05)+(D124/12.15)+(E124/23)</f>
        <v>0.39770139867721999</v>
      </c>
      <c r="J124" s="6">
        <f>(H124/61)+(F124/48)+(G124/35.45)</f>
        <v>0.3959633941439879</v>
      </c>
      <c r="K124" s="5">
        <f>((C124/20)+(D124/12.15))*50</f>
        <v>2.5</v>
      </c>
      <c r="L124" s="26">
        <f>H124*(50/61)*(1+(2*10^-4))</f>
        <v>13.117377049180329</v>
      </c>
      <c r="M124" s="5">
        <f>(L124-((C124*0.7143)+(D124*0.5879)))</f>
        <v>12.403077049180329</v>
      </c>
      <c r="N124" s="4">
        <f>IF(F124&lt;=0,0,F124/G124)</f>
        <v>0.25</v>
      </c>
      <c r="O124" s="596" t="s">
        <v>944</v>
      </c>
      <c r="P124" s="597"/>
      <c r="Q124" s="597"/>
      <c r="R124" s="597"/>
      <c r="S124" s="598"/>
      <c r="U124" s="279"/>
      <c r="V124" s="455"/>
      <c r="BG124" s="100"/>
      <c r="BH124" s="100"/>
      <c r="BI124" s="100"/>
      <c r="BJ124" s="100"/>
      <c r="BK124" s="100"/>
      <c r="BL124" s="100"/>
    </row>
    <row r="125" spans="1:64" ht="16.5" customHeight="1" x14ac:dyDescent="0.2">
      <c r="A125" s="19">
        <v>3</v>
      </c>
      <c r="B125" s="10" t="s">
        <v>26</v>
      </c>
      <c r="C125" s="10">
        <v>0</v>
      </c>
      <c r="D125" s="10">
        <v>0</v>
      </c>
      <c r="E125" s="10">
        <v>0</v>
      </c>
      <c r="F125" s="10">
        <v>0</v>
      </c>
      <c r="G125" s="10">
        <v>0</v>
      </c>
      <c r="H125" s="10">
        <v>0</v>
      </c>
      <c r="I125" s="4">
        <f>(C125/20.05)+(D125/12.15)+(E125/23)</f>
        <v>0</v>
      </c>
      <c r="J125" s="6">
        <f>(H125/61)+(F125/48)+(G125/35.45)</f>
        <v>0</v>
      </c>
      <c r="K125" s="5">
        <f>((C125/20)+(D125/12.15))*50</f>
        <v>0</v>
      </c>
      <c r="L125" s="26">
        <f>H125*(50/61)*(1+(2*10^-4))</f>
        <v>0</v>
      </c>
      <c r="M125" s="5">
        <f>(L125-((C125*0.7143)+(D125*0.5879)))</f>
        <v>0</v>
      </c>
      <c r="N125" s="4">
        <f>IF(F125&lt;=0,0,F125/G125)</f>
        <v>0</v>
      </c>
      <c r="O125" s="596"/>
      <c r="P125" s="597"/>
      <c r="Q125" s="597"/>
      <c r="R125" s="597"/>
      <c r="S125" s="598"/>
      <c r="BG125" s="100"/>
      <c r="BH125" s="100"/>
      <c r="BI125" s="100"/>
      <c r="BJ125" s="100"/>
      <c r="BK125" s="100"/>
      <c r="BL125" s="100"/>
    </row>
    <row r="126" spans="1:64" ht="16.5" customHeight="1" x14ac:dyDescent="0.2">
      <c r="A126" s="19">
        <v>4</v>
      </c>
      <c r="B126" s="10" t="s">
        <v>26</v>
      </c>
      <c r="C126" s="10">
        <v>0</v>
      </c>
      <c r="D126" s="10">
        <v>0</v>
      </c>
      <c r="E126" s="10">
        <v>0</v>
      </c>
      <c r="F126" s="10">
        <v>0</v>
      </c>
      <c r="G126" s="10">
        <v>0</v>
      </c>
      <c r="H126" s="10">
        <v>0</v>
      </c>
      <c r="I126" s="4">
        <f>(C126/20.05)+(D126/12.15)+(E126/23)</f>
        <v>0</v>
      </c>
      <c r="J126" s="6">
        <f>(H126/61)+(F126/48)+(G126/35.45)</f>
        <v>0</v>
      </c>
      <c r="K126" s="5">
        <f>((C126/20)+(D126/12.15))*50</f>
        <v>0</v>
      </c>
      <c r="L126" s="26">
        <f>H126*(50/61)*(1+(2*10^-4))</f>
        <v>0</v>
      </c>
      <c r="M126" s="5">
        <f>(L126-((C126*0.7143)+(D126*0.5879)))</f>
        <v>0</v>
      </c>
      <c r="N126" s="4">
        <f>IF(F126&lt;=0,0,F126/G126)</f>
        <v>0</v>
      </c>
      <c r="O126" s="691"/>
      <c r="P126" s="691"/>
      <c r="Q126" s="691"/>
      <c r="R126" s="691"/>
      <c r="S126" s="691"/>
      <c r="BG126" s="100"/>
      <c r="BH126" s="100"/>
      <c r="BI126" s="100"/>
      <c r="BJ126" s="100"/>
      <c r="BK126" s="100"/>
      <c r="BL126" s="100"/>
    </row>
    <row r="127" spans="1:64" x14ac:dyDescent="0.2">
      <c r="O127" s="100"/>
      <c r="P127" s="100"/>
      <c r="Q127" s="100"/>
      <c r="BG127" s="100"/>
      <c r="BH127" s="100"/>
      <c r="BI127" s="100"/>
      <c r="BJ127" s="100"/>
      <c r="BK127" s="100"/>
      <c r="BL127" s="100"/>
    </row>
    <row r="128" spans="1:64" x14ac:dyDescent="0.2">
      <c r="O128" s="100"/>
      <c r="P128" s="100"/>
      <c r="Q128" s="100"/>
      <c r="BG128" s="100"/>
      <c r="BH128" s="100"/>
      <c r="BI128" s="100"/>
      <c r="BJ128" s="100"/>
      <c r="BK128" s="100"/>
      <c r="BL128" s="100"/>
    </row>
    <row r="129" spans="15:64" x14ac:dyDescent="0.2">
      <c r="O129" s="100"/>
      <c r="P129" s="100"/>
      <c r="Q129" s="100"/>
      <c r="BG129" s="100"/>
      <c r="BH129" s="100"/>
      <c r="BI129" s="100"/>
      <c r="BJ129" s="100"/>
      <c r="BK129" s="100"/>
      <c r="BL129" s="100"/>
    </row>
    <row r="130" spans="15:64" x14ac:dyDescent="0.2">
      <c r="O130" s="100"/>
      <c r="P130" s="100"/>
      <c r="Q130" s="100"/>
      <c r="BG130" s="100"/>
      <c r="BH130" s="100"/>
      <c r="BI130" s="100"/>
      <c r="BJ130" s="100"/>
      <c r="BK130" s="100"/>
      <c r="BL130" s="100"/>
    </row>
    <row r="131" spans="15:64" x14ac:dyDescent="0.2">
      <c r="BG131" s="100"/>
      <c r="BH131" s="100"/>
      <c r="BI131" s="100"/>
      <c r="BJ131" s="100"/>
      <c r="BK131" s="100"/>
      <c r="BL131" s="100"/>
    </row>
    <row r="132" spans="15:64" x14ac:dyDescent="0.2">
      <c r="BG132" s="100"/>
      <c r="BH132" s="100"/>
      <c r="BI132" s="100"/>
      <c r="BJ132" s="100"/>
      <c r="BK132" s="100"/>
      <c r="BL132" s="100"/>
    </row>
    <row r="133" spans="15:64" x14ac:dyDescent="0.2">
      <c r="BG133" s="100"/>
      <c r="BH133" s="100"/>
      <c r="BI133" s="100"/>
      <c r="BJ133" s="100"/>
      <c r="BK133" s="100"/>
      <c r="BL133" s="100"/>
    </row>
    <row r="134" spans="15:64" x14ac:dyDescent="0.2">
      <c r="BG134" s="100"/>
      <c r="BH134" s="100"/>
      <c r="BI134" s="100"/>
      <c r="BJ134" s="100"/>
      <c r="BK134" s="100"/>
      <c r="BL134" s="100"/>
    </row>
    <row r="135" spans="15:64" x14ac:dyDescent="0.2">
      <c r="BG135" s="100"/>
      <c r="BH135" s="100"/>
      <c r="BI135" s="100"/>
      <c r="BJ135" s="100"/>
      <c r="BK135" s="100"/>
      <c r="BL135" s="100"/>
    </row>
    <row r="136" spans="15:64" x14ac:dyDescent="0.2">
      <c r="BG136" s="100"/>
      <c r="BH136" s="100"/>
      <c r="BI136" s="100"/>
      <c r="BJ136" s="100"/>
      <c r="BK136" s="100"/>
      <c r="BL136" s="100"/>
    </row>
    <row r="137" spans="15:64" x14ac:dyDescent="0.2">
      <c r="BG137" s="100"/>
      <c r="BH137" s="100"/>
      <c r="BI137" s="100"/>
      <c r="BJ137" s="100"/>
      <c r="BK137" s="100"/>
      <c r="BL137" s="100"/>
    </row>
    <row r="138" spans="15:64" x14ac:dyDescent="0.2">
      <c r="BG138" s="100"/>
      <c r="BH138" s="100"/>
      <c r="BI138" s="100"/>
      <c r="BJ138" s="100"/>
      <c r="BK138" s="100"/>
      <c r="BL138" s="100"/>
    </row>
    <row r="139" spans="15:64" x14ac:dyDescent="0.2">
      <c r="BG139" s="100"/>
      <c r="BH139" s="100"/>
      <c r="BI139" s="100"/>
      <c r="BJ139" s="100"/>
      <c r="BK139" s="100"/>
      <c r="BL139" s="100"/>
    </row>
    <row r="140" spans="15:64" x14ac:dyDescent="0.2">
      <c r="BG140" s="100"/>
      <c r="BH140" s="100"/>
      <c r="BI140" s="100"/>
      <c r="BJ140" s="100"/>
      <c r="BK140" s="100"/>
      <c r="BL140" s="100"/>
    </row>
    <row r="141" spans="15:64" x14ac:dyDescent="0.2">
      <c r="BG141" s="100"/>
      <c r="BH141" s="100"/>
      <c r="BI141" s="100"/>
      <c r="BJ141" s="100"/>
      <c r="BK141" s="100"/>
      <c r="BL141" s="100"/>
    </row>
    <row r="142" spans="15:64" x14ac:dyDescent="0.2">
      <c r="BG142" s="100"/>
      <c r="BH142" s="100"/>
      <c r="BI142" s="100"/>
      <c r="BJ142" s="100"/>
      <c r="BK142" s="100"/>
      <c r="BL142" s="100"/>
    </row>
    <row r="143" spans="15:64" x14ac:dyDescent="0.2">
      <c r="BG143" s="100"/>
      <c r="BH143" s="100"/>
      <c r="BI143" s="100"/>
      <c r="BJ143" s="100"/>
      <c r="BK143" s="100"/>
      <c r="BL143" s="100"/>
    </row>
    <row r="144" spans="15:64" x14ac:dyDescent="0.2">
      <c r="BG144" s="100"/>
      <c r="BH144" s="100"/>
      <c r="BI144" s="100"/>
      <c r="BJ144" s="100"/>
      <c r="BK144" s="100"/>
      <c r="BL144" s="100"/>
    </row>
    <row r="145" spans="59:64" x14ac:dyDescent="0.2">
      <c r="BG145" s="100"/>
      <c r="BH145" s="100"/>
      <c r="BI145" s="100"/>
      <c r="BJ145" s="100"/>
      <c r="BK145" s="100"/>
      <c r="BL145" s="100"/>
    </row>
    <row r="146" spans="59:64" x14ac:dyDescent="0.2">
      <c r="BG146" s="100"/>
      <c r="BH146" s="100"/>
      <c r="BI146" s="100"/>
      <c r="BJ146" s="100"/>
      <c r="BK146" s="100"/>
      <c r="BL146" s="100"/>
    </row>
    <row r="147" spans="59:64" x14ac:dyDescent="0.2">
      <c r="BG147" s="100"/>
      <c r="BH147" s="100"/>
      <c r="BI147" s="100"/>
      <c r="BJ147" s="100"/>
      <c r="BK147" s="100"/>
      <c r="BL147" s="100"/>
    </row>
    <row r="148" spans="59:64" x14ac:dyDescent="0.2">
      <c r="BG148" s="100"/>
      <c r="BH148" s="100"/>
      <c r="BI148" s="100"/>
      <c r="BJ148" s="100"/>
      <c r="BK148" s="100"/>
      <c r="BL148" s="100"/>
    </row>
    <row r="149" spans="59:64" x14ac:dyDescent="0.2">
      <c r="BG149" s="100"/>
      <c r="BH149" s="100"/>
      <c r="BI149" s="100"/>
      <c r="BJ149" s="100"/>
      <c r="BK149" s="100"/>
      <c r="BL149" s="100"/>
    </row>
    <row r="150" spans="59:64" x14ac:dyDescent="0.2">
      <c r="BG150" s="100"/>
      <c r="BH150" s="100"/>
      <c r="BI150" s="100"/>
      <c r="BJ150" s="100"/>
      <c r="BK150" s="100"/>
      <c r="BL150" s="100"/>
    </row>
    <row r="151" spans="59:64" x14ac:dyDescent="0.2">
      <c r="BG151" s="100"/>
      <c r="BH151" s="100"/>
      <c r="BI151" s="100"/>
      <c r="BJ151" s="100"/>
      <c r="BK151" s="100"/>
      <c r="BL151" s="100"/>
    </row>
    <row r="152" spans="59:64" x14ac:dyDescent="0.2">
      <c r="BG152" s="100"/>
      <c r="BH152" s="100"/>
      <c r="BI152" s="100"/>
      <c r="BJ152" s="100"/>
      <c r="BK152" s="100"/>
      <c r="BL152" s="100"/>
    </row>
    <row r="153" spans="59:64" x14ac:dyDescent="0.2">
      <c r="BG153" s="100"/>
      <c r="BH153" s="100"/>
      <c r="BI153" s="100"/>
      <c r="BJ153" s="100"/>
      <c r="BK153" s="100"/>
      <c r="BL153" s="100"/>
    </row>
    <row r="154" spans="59:64" x14ac:dyDescent="0.2">
      <c r="BG154" s="100"/>
      <c r="BH154" s="100"/>
      <c r="BI154" s="100"/>
      <c r="BJ154" s="100"/>
      <c r="BK154" s="100"/>
      <c r="BL154" s="100"/>
    </row>
    <row r="155" spans="59:64" x14ac:dyDescent="0.2">
      <c r="BG155" s="100"/>
      <c r="BH155" s="100"/>
      <c r="BI155" s="100"/>
      <c r="BJ155" s="100"/>
      <c r="BK155" s="100"/>
      <c r="BL155" s="100"/>
    </row>
    <row r="156" spans="59:64" x14ac:dyDescent="0.2">
      <c r="BG156" s="100"/>
      <c r="BH156" s="100"/>
      <c r="BI156" s="100"/>
      <c r="BJ156" s="100"/>
      <c r="BK156" s="100"/>
      <c r="BL156" s="100"/>
    </row>
    <row r="157" spans="59:64" x14ac:dyDescent="0.2">
      <c r="BG157" s="100"/>
      <c r="BH157" s="100"/>
      <c r="BI157" s="100"/>
      <c r="BJ157" s="100"/>
      <c r="BK157" s="100"/>
      <c r="BL157" s="100"/>
    </row>
    <row r="158" spans="59:64" x14ac:dyDescent="0.2">
      <c r="BG158" s="100"/>
      <c r="BH158" s="100"/>
      <c r="BI158" s="100"/>
      <c r="BJ158" s="100"/>
      <c r="BK158" s="100"/>
      <c r="BL158" s="100"/>
    </row>
  </sheetData>
  <sheetProtection algorithmName="SHA-512" hashValue="44Sg25eEthG4scfF3dXg5eakH8JqPnpKIkP4AKEdIxaAqnHxd9CrHhAc9zSmeEu9CoceGt9YOJ33acEIoNMJXg==" saltValue="1wRQCPTPXagrJPMKjdpBYw==" spinCount="100000" sheet="1" objects="1" scenarios="1" selectLockedCells="1"/>
  <mergeCells count="159">
    <mergeCell ref="O93:S93"/>
    <mergeCell ref="O100:S100"/>
    <mergeCell ref="O94:S94"/>
    <mergeCell ref="O16:O17"/>
    <mergeCell ref="I20:J20"/>
    <mergeCell ref="O65:S65"/>
    <mergeCell ref="O66:S66"/>
    <mergeCell ref="O67:S67"/>
    <mergeCell ref="O68:S68"/>
    <mergeCell ref="O84:S84"/>
    <mergeCell ref="Q20:R21"/>
    <mergeCell ref="O45:S45"/>
    <mergeCell ref="A42:L42"/>
    <mergeCell ref="O46:S46"/>
    <mergeCell ref="O51:S51"/>
    <mergeCell ref="O75:S75"/>
    <mergeCell ref="O76:S76"/>
    <mergeCell ref="O77:S77"/>
    <mergeCell ref="O78:S78"/>
    <mergeCell ref="O95:S95"/>
    <mergeCell ref="O96:S96"/>
    <mergeCell ref="O97:S97"/>
    <mergeCell ref="O98:S98"/>
    <mergeCell ref="O99:S99"/>
    <mergeCell ref="O126:S126"/>
    <mergeCell ref="O79:S79"/>
    <mergeCell ref="O54:S54"/>
    <mergeCell ref="O55:S55"/>
    <mergeCell ref="O56:S56"/>
    <mergeCell ref="O80:S80"/>
    <mergeCell ref="O69:S69"/>
    <mergeCell ref="O70:S70"/>
    <mergeCell ref="O71:S71"/>
    <mergeCell ref="O72:S72"/>
    <mergeCell ref="O73:S73"/>
    <mergeCell ref="O74:S74"/>
    <mergeCell ref="O63:S63"/>
    <mergeCell ref="O64:S64"/>
    <mergeCell ref="O57:S57"/>
    <mergeCell ref="O58:S58"/>
    <mergeCell ref="O87:S87"/>
    <mergeCell ref="O59:S59"/>
    <mergeCell ref="O62:S62"/>
    <mergeCell ref="O82:S82"/>
    <mergeCell ref="O83:S83"/>
    <mergeCell ref="O81:S81"/>
    <mergeCell ref="O85:S85"/>
    <mergeCell ref="O86:S86"/>
    <mergeCell ref="O123:S123"/>
    <mergeCell ref="O101:S101"/>
    <mergeCell ref="O102:S102"/>
    <mergeCell ref="O118:S118"/>
    <mergeCell ref="O103:S103"/>
    <mergeCell ref="O104:S104"/>
    <mergeCell ref="O105:S105"/>
    <mergeCell ref="O106:S106"/>
    <mergeCell ref="O107:S107"/>
    <mergeCell ref="O117:S117"/>
    <mergeCell ref="O88:S88"/>
    <mergeCell ref="O89:S89"/>
    <mergeCell ref="O90:S90"/>
    <mergeCell ref="O91:S91"/>
    <mergeCell ref="O92:S92"/>
    <mergeCell ref="O52:S52"/>
    <mergeCell ref="O53:S53"/>
    <mergeCell ref="C34:I34"/>
    <mergeCell ref="I37:J37"/>
    <mergeCell ref="J34:L34"/>
    <mergeCell ref="O60:S60"/>
    <mergeCell ref="O61:S61"/>
    <mergeCell ref="O49:S49"/>
    <mergeCell ref="O50:S50"/>
    <mergeCell ref="K37:L37"/>
    <mergeCell ref="O43:S43"/>
    <mergeCell ref="O44:S44"/>
    <mergeCell ref="O47:S47"/>
    <mergeCell ref="O48:S48"/>
    <mergeCell ref="A40:L40"/>
    <mergeCell ref="A39:L39"/>
    <mergeCell ref="N35:P35"/>
    <mergeCell ref="J36:L36"/>
    <mergeCell ref="I35:J35"/>
    <mergeCell ref="N37:P37"/>
    <mergeCell ref="I27:J27"/>
    <mergeCell ref="K27:L27"/>
    <mergeCell ref="K33:L33"/>
    <mergeCell ref="N33:P33"/>
    <mergeCell ref="I29:J29"/>
    <mergeCell ref="C30:G30"/>
    <mergeCell ref="B2:J2"/>
    <mergeCell ref="D1:J1"/>
    <mergeCell ref="A8:B8"/>
    <mergeCell ref="I24:J24"/>
    <mergeCell ref="I33:J33"/>
    <mergeCell ref="A14:B14"/>
    <mergeCell ref="K20:L20"/>
    <mergeCell ref="A15:B15"/>
    <mergeCell ref="K26:L26"/>
    <mergeCell ref="K19:L19"/>
    <mergeCell ref="A1:B1"/>
    <mergeCell ref="I25:J25"/>
    <mergeCell ref="I16:L16"/>
    <mergeCell ref="I23:J23"/>
    <mergeCell ref="K22:L22"/>
    <mergeCell ref="A7:B7"/>
    <mergeCell ref="I9:K9"/>
    <mergeCell ref="A4:E4"/>
    <mergeCell ref="F4:N4"/>
    <mergeCell ref="I26:J26"/>
    <mergeCell ref="N26:P26"/>
    <mergeCell ref="I5:K5"/>
    <mergeCell ref="I6:K6"/>
    <mergeCell ref="I7:K7"/>
    <mergeCell ref="I8:K8"/>
    <mergeCell ref="L6:N12"/>
    <mergeCell ref="I21:J21"/>
    <mergeCell ref="N24:P25"/>
    <mergeCell ref="A5:B5"/>
    <mergeCell ref="C16:H16"/>
    <mergeCell ref="O12:O13"/>
    <mergeCell ref="N22:P22"/>
    <mergeCell ref="M16:N17"/>
    <mergeCell ref="N21:P21"/>
    <mergeCell ref="K17:L17"/>
    <mergeCell ref="N13:N14"/>
    <mergeCell ref="O125:S125"/>
    <mergeCell ref="K31:L31"/>
    <mergeCell ref="A6:B6"/>
    <mergeCell ref="A9:B9"/>
    <mergeCell ref="I19:J19"/>
    <mergeCell ref="K15:M15"/>
    <mergeCell ref="M23:P23"/>
    <mergeCell ref="N27:P28"/>
    <mergeCell ref="P16:P17"/>
    <mergeCell ref="C29:E29"/>
    <mergeCell ref="C8:H8"/>
    <mergeCell ref="K21:L21"/>
    <mergeCell ref="I17:J17"/>
    <mergeCell ref="O10:P11"/>
    <mergeCell ref="P12:P13"/>
    <mergeCell ref="O124:S124"/>
    <mergeCell ref="K29:L29"/>
    <mergeCell ref="N31:P31"/>
    <mergeCell ref="H32:K32"/>
    <mergeCell ref="A13:B13"/>
    <mergeCell ref="C17:H17"/>
    <mergeCell ref="A12:B12"/>
    <mergeCell ref="A11:B11"/>
    <mergeCell ref="K23:L23"/>
    <mergeCell ref="I28:J28"/>
    <mergeCell ref="K28:L28"/>
    <mergeCell ref="I31:J31"/>
    <mergeCell ref="H30:K30"/>
    <mergeCell ref="K35:L35"/>
    <mergeCell ref="I22:J22"/>
    <mergeCell ref="L5:N5"/>
    <mergeCell ref="K25:L25"/>
    <mergeCell ref="M19:O19"/>
    <mergeCell ref="K24:L24"/>
  </mergeCells>
  <phoneticPr fontId="7" type="noConversion"/>
  <conditionalFormatting sqref="D15">
    <cfRule type="expression" dxfId="57" priority="105">
      <formula>$D$15&gt;40</formula>
    </cfRule>
    <cfRule type="expression" dxfId="56" priority="110">
      <formula>$D$15&lt;30</formula>
    </cfRule>
  </conditionalFormatting>
  <conditionalFormatting sqref="E15">
    <cfRule type="expression" dxfId="55" priority="106">
      <formula>OR($E$15&gt;150,AND($F$15&gt;100,$E$15&gt;100))</formula>
    </cfRule>
    <cfRule type="expression" dxfId="54" priority="107">
      <formula>$E$15&gt;50</formula>
    </cfRule>
    <cfRule type="expression" dxfId="53" priority="108">
      <formula>$E$15&lt;50</formula>
    </cfRule>
  </conditionalFormatting>
  <conditionalFormatting sqref="F15">
    <cfRule type="expression" dxfId="52" priority="103">
      <formula>$F$15&gt;100</formula>
    </cfRule>
    <cfRule type="expression" dxfId="51" priority="104">
      <formula>$F$15&lt;100</formula>
    </cfRule>
  </conditionalFormatting>
  <conditionalFormatting sqref="G15">
    <cfRule type="expression" dxfId="50" priority="1" stopIfTrue="1">
      <formula>AND($G$15&gt;170,$F$15&gt;100)</formula>
    </cfRule>
    <cfRule type="expression" dxfId="49" priority="101">
      <formula>AND($G$15&gt;100,$F$15&gt;100)</formula>
    </cfRule>
    <cfRule type="expression" dxfId="48" priority="102">
      <formula>$G$15&lt;100</formula>
    </cfRule>
  </conditionalFormatting>
  <conditionalFormatting sqref="I44:I118">
    <cfRule type="expression" dxfId="47" priority="129">
      <formula>ABS(I44-J44)&lt;0.1</formula>
    </cfRule>
  </conditionalFormatting>
  <conditionalFormatting sqref="J44:J118">
    <cfRule type="expression" dxfId="46" priority="130">
      <formula>ABS(I44-J44)&lt;0.1</formula>
    </cfRule>
  </conditionalFormatting>
  <conditionalFormatting sqref="B17">
    <cfRule type="expression" dxfId="45" priority="89" stopIfTrue="1">
      <formula>B17&lt;5.15</formula>
    </cfRule>
    <cfRule type="expression" dxfId="44" priority="90" stopIfTrue="1">
      <formula>B17&gt;5.75</formula>
    </cfRule>
    <cfRule type="expression" dxfId="43" priority="91">
      <formula>B17&gt;5.55</formula>
    </cfRule>
    <cfRule type="expression" dxfId="42" priority="92">
      <formula>B17&lt;5.25</formula>
    </cfRule>
  </conditionalFormatting>
  <conditionalFormatting sqref="C13">
    <cfRule type="expression" dxfId="41" priority="83">
      <formula>ABS(C12-C13)&lt;5</formula>
    </cfRule>
  </conditionalFormatting>
  <conditionalFormatting sqref="D13">
    <cfRule type="expression" dxfId="40" priority="82">
      <formula>ABS(D12-D13)&lt;5</formula>
    </cfRule>
  </conditionalFormatting>
  <conditionalFormatting sqref="E13">
    <cfRule type="expression" dxfId="39" priority="81">
      <formula>ABS(E12-E13)&lt;5</formula>
    </cfRule>
  </conditionalFormatting>
  <conditionalFormatting sqref="F13">
    <cfRule type="expression" dxfId="38" priority="80">
      <formula>ABS(F12-F13)&lt;5</formula>
    </cfRule>
  </conditionalFormatting>
  <conditionalFormatting sqref="G13">
    <cfRule type="expression" dxfId="37" priority="79">
      <formula>ABS(G12-G13)&lt;5</formula>
    </cfRule>
  </conditionalFormatting>
  <conditionalFormatting sqref="B20">
    <cfRule type="expression" dxfId="36" priority="70">
      <formula>AND(B20&gt;0,F15-F6&gt;10)</formula>
    </cfRule>
  </conditionalFormatting>
  <conditionalFormatting sqref="B22">
    <cfRule type="expression" dxfId="35" priority="69">
      <formula>AND(B22&gt;0,OR(D15-D6&gt;10,F15-F6&gt;10))</formula>
    </cfRule>
  </conditionalFormatting>
  <conditionalFormatting sqref="B23">
    <cfRule type="expression" dxfId="34" priority="68">
      <formula>AND(B23&gt;0,OR(D15-D6&gt;10,G15-G6&gt;10))</formula>
    </cfRule>
  </conditionalFormatting>
  <conditionalFormatting sqref="B24">
    <cfRule type="expression" dxfId="33" priority="67">
      <formula>AND(B24&gt;0,OR(E15-E6&gt;10,G15-G6&gt;10))</formula>
    </cfRule>
  </conditionalFormatting>
  <conditionalFormatting sqref="B21">
    <cfRule type="expression" dxfId="32" priority="66">
      <formula>AND(B21&gt;0,G15-G6&gt;10)</formula>
    </cfRule>
  </conditionalFormatting>
  <conditionalFormatting sqref="B25">
    <cfRule type="expression" dxfId="31" priority="65">
      <formula>AND(B25&gt;0,E15-E6&gt;10)</formula>
    </cfRule>
  </conditionalFormatting>
  <conditionalFormatting sqref="I123">
    <cfRule type="expression" dxfId="30" priority="62">
      <formula>ABS(I123-J123)&lt;0.1</formula>
    </cfRule>
  </conditionalFormatting>
  <conditionalFormatting sqref="J123">
    <cfRule type="expression" dxfId="29" priority="61">
      <formula>ABS(I123-J123)&lt;0.1</formula>
    </cfRule>
  </conditionalFormatting>
  <conditionalFormatting sqref="C15">
    <cfRule type="expression" dxfId="28" priority="51">
      <formula>$C$14&gt;=20</formula>
    </cfRule>
  </conditionalFormatting>
  <conditionalFormatting sqref="N15">
    <cfRule type="expression" dxfId="27" priority="37">
      <formula>G15&gt;100</formula>
    </cfRule>
    <cfRule type="expression" dxfId="26" priority="38">
      <formula>G15&lt;25</formula>
    </cfRule>
  </conditionalFormatting>
  <conditionalFormatting sqref="C12:G12">
    <cfRule type="expression" dxfId="25" priority="20">
      <formula>C12&lt;-20</formula>
    </cfRule>
  </conditionalFormatting>
  <conditionalFormatting sqref="C14">
    <cfRule type="expression" dxfId="24" priority="15">
      <formula>C14&gt;40</formula>
    </cfRule>
  </conditionalFormatting>
  <conditionalFormatting sqref="I21">
    <cfRule type="expression" dxfId="23" priority="315">
      <formula>M26="yes"</formula>
    </cfRule>
  </conditionalFormatting>
  <conditionalFormatting sqref="I20">
    <cfRule type="expression" dxfId="22" priority="314">
      <formula>M26="yes"</formula>
    </cfRule>
  </conditionalFormatting>
  <conditionalFormatting sqref="I22">
    <cfRule type="expression" dxfId="21" priority="316">
      <formula>M26="yes"</formula>
    </cfRule>
  </conditionalFormatting>
  <conditionalFormatting sqref="I23">
    <cfRule type="expression" dxfId="20" priority="343">
      <formula>M26="yes"</formula>
    </cfRule>
  </conditionalFormatting>
  <conditionalFormatting sqref="M25:M28">
    <cfRule type="expression" dxfId="19" priority="10">
      <formula>M25="yes"</formula>
    </cfRule>
  </conditionalFormatting>
  <conditionalFormatting sqref="I108">
    <cfRule type="expression" dxfId="18" priority="6">
      <formula>ABS(I108-J108)&lt;0.1</formula>
    </cfRule>
  </conditionalFormatting>
  <conditionalFormatting sqref="J108">
    <cfRule type="expression" dxfId="17" priority="7">
      <formula>ABS(I108-J108)&lt;0.1</formula>
    </cfRule>
  </conditionalFormatting>
  <conditionalFormatting sqref="I124:I126">
    <cfRule type="expression" dxfId="16" priority="3">
      <formula>ABS(I124-J124)&lt;0.1</formula>
    </cfRule>
  </conditionalFormatting>
  <conditionalFormatting sqref="J124:J126">
    <cfRule type="expression" dxfId="15" priority="2">
      <formula>ABS(I124-J124)&lt;0.1</formula>
    </cfRule>
  </conditionalFormatting>
  <conditionalFormatting sqref="H27:H28">
    <cfRule type="expression" dxfId="14" priority="443">
      <formula>AND(OR(H31&lt;0,H33&lt;0,W18=TRUE),OR(H25&gt;0,H26&gt;0,H27&gt;0))</formula>
    </cfRule>
  </conditionalFormatting>
  <conditionalFormatting sqref="H31">
    <cfRule type="expression" dxfId="13" priority="444">
      <formula>AND(OR(H31&lt;0,H33&lt;0,W18=TRUE),OR(H25&gt;0,H26&gt;0,H27&gt;0))</formula>
    </cfRule>
  </conditionalFormatting>
  <conditionalFormatting sqref="H33">
    <cfRule type="expression" dxfId="12" priority="445">
      <formula>AND(OR(H31&lt;0,H33&lt;0,W18=TRUE),OR(H25&gt;0,H26&gt;0,H27&gt;0))</formula>
    </cfRule>
  </conditionalFormatting>
  <conditionalFormatting sqref="H25">
    <cfRule type="expression" dxfId="11" priority="446">
      <formula>AND(OR(H31&lt;0,H33&lt;0,W18=TRUE),OR(H25&gt;0,H26&gt;0,H27&gt;0))</formula>
    </cfRule>
  </conditionalFormatting>
  <conditionalFormatting sqref="H26">
    <cfRule type="expression" dxfId="10" priority="447">
      <formula>AND(OR(H31&lt;0,H33&lt;0,W18=TRUE),OR(H25&gt;0,H26&gt;0,H27&gt;0))</formula>
    </cfRule>
  </conditionalFormatting>
  <dataValidations count="8">
    <dataValidation type="list" allowBlank="1" showInputMessage="1" showErrorMessage="1" sqref="M25:M27" xr:uid="{00000000-0002-0000-0400-000000000000}">
      <formula1>$W$22:$W$23</formula1>
    </dataValidation>
    <dataValidation type="list" allowBlank="1" showInputMessage="1" showErrorMessage="1" sqref="M21" xr:uid="{00000000-0002-0000-0400-000001000000}">
      <formula1>$X$22:$X$24</formula1>
    </dataValidation>
    <dataValidation type="list" allowBlank="1" showInputMessage="1" showErrorMessage="1" prompt="Select desired water profile from the drop-down listing." sqref="A6:B6" xr:uid="{00000000-0002-0000-0400-000002000000}">
      <formula1>$B$44:$B$118</formula1>
    </dataValidation>
    <dataValidation type="list" allowBlank="1" showInputMessage="1" showErrorMessage="1" prompt="Select the type of dilution water from the drop-down listing." sqref="A9:B9" xr:uid="{00000000-0002-0000-0400-000003000000}">
      <formula1>$B$123:$B$126</formula1>
    </dataValidation>
    <dataValidation type="list" allowBlank="1" showInputMessage="1" showErrorMessage="1" sqref="A31" xr:uid="{00000000-0002-0000-0400-000004000000}">
      <formula1>$U$27:$U$35</formula1>
    </dataValidation>
    <dataValidation type="list" allowBlank="1" showInputMessage="1" showErrorMessage="1" sqref="A33" xr:uid="{00000000-0002-0000-0400-000005000000}">
      <formula1>$AO$26:$AO$34</formula1>
    </dataValidation>
    <dataValidation type="list" allowBlank="1" showInputMessage="1" showErrorMessage="1" sqref="E31" xr:uid="{00000000-0002-0000-0400-000006000000}">
      <formula1>$U$5:$U$8</formula1>
    </dataValidation>
    <dataValidation type="list" allowBlank="1" showInputMessage="1" showErrorMessage="1" sqref="E33" xr:uid="{00000000-0002-0000-0400-000007000000}">
      <formula1>$AF$5:$AF$8</formula1>
    </dataValidation>
  </dataValidations>
  <printOptions horizontalCentered="1" verticalCentered="1"/>
  <pageMargins left="0.75" right="0.75" top="1" bottom="1" header="0.5" footer="0.5"/>
  <pageSetup scale="65" orientation="landscape" r:id="rId1"/>
  <headerFooter alignWithMargins="0">
    <oddFooter>&amp;LBru'n Water
V.5.5&amp;R9/17/18</oddFooter>
  </headerFooter>
  <ignoredErrors>
    <ignoredError sqref="AI48 E10" formula="1"/>
  </ignoredErrors>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theme="0"/>
    <pageSetUpPr fitToPage="1"/>
  </sheetPr>
  <dimension ref="A1:AL84"/>
  <sheetViews>
    <sheetView showGridLines="0" zoomScaleNormal="100" workbookViewId="0">
      <selection activeCell="F46" sqref="F46"/>
    </sheetView>
  </sheetViews>
  <sheetFormatPr defaultColWidth="9.28515625" defaultRowHeight="12.75" x14ac:dyDescent="0.2"/>
  <cols>
    <col min="1" max="1" width="16.42578125" customWidth="1"/>
    <col min="2" max="2" width="8.5703125" customWidth="1"/>
    <col min="3" max="3" width="12" customWidth="1"/>
    <col min="4" max="9" width="13.42578125" customWidth="1"/>
    <col min="10" max="10" width="12.42578125" customWidth="1"/>
    <col min="11" max="24" width="12.42578125" hidden="1" customWidth="1"/>
    <col min="25" max="25" width="11.5703125" hidden="1" customWidth="1"/>
    <col min="26" max="26" width="12.42578125" hidden="1" customWidth="1"/>
    <col min="27" max="27" width="12.42578125" customWidth="1"/>
    <col min="28" max="54" width="9.5703125" customWidth="1"/>
  </cols>
  <sheetData>
    <row r="1" spans="1:30" ht="33.6" customHeight="1" x14ac:dyDescent="0.2">
      <c r="A1" s="754" t="s">
        <v>272</v>
      </c>
      <c r="B1" s="755"/>
      <c r="C1" s="756"/>
      <c r="D1" s="752" t="str">
        <f>'1. Water Report Input'!$C$1</f>
        <v>Michael Weisz</v>
      </c>
      <c r="E1" s="753"/>
      <c r="F1" s="753"/>
      <c r="G1" s="753"/>
      <c r="H1" s="753"/>
      <c r="I1" s="753"/>
      <c r="J1" s="31"/>
      <c r="K1" s="31"/>
    </row>
    <row r="2" spans="1:30" ht="18" x14ac:dyDescent="0.2">
      <c r="A2" s="757" t="s">
        <v>344</v>
      </c>
      <c r="B2" s="758"/>
      <c r="C2" s="759" t="str">
        <f>'4. Water Adjustment'!$B$2</f>
        <v>Janeipa</v>
      </c>
      <c r="D2" s="760"/>
      <c r="E2" s="760"/>
      <c r="F2" s="760"/>
      <c r="G2" s="760"/>
      <c r="H2" s="760"/>
      <c r="I2" s="760"/>
      <c r="J2" s="31"/>
      <c r="K2" s="31"/>
    </row>
    <row r="3" spans="1:30" ht="30" customHeight="1" thickBot="1" x14ac:dyDescent="0.4">
      <c r="A3" s="761" t="s">
        <v>273</v>
      </c>
      <c r="B3" s="761"/>
      <c r="C3" s="761"/>
      <c r="D3" s="761"/>
      <c r="E3" s="762" t="s">
        <v>888</v>
      </c>
      <c r="F3" s="762"/>
      <c r="G3" s="762"/>
      <c r="H3" s="762"/>
      <c r="I3" s="762"/>
      <c r="J3" s="31"/>
      <c r="K3" s="31"/>
    </row>
    <row r="4" spans="1:30" ht="16.5" customHeight="1" x14ac:dyDescent="0.2">
      <c r="A4" s="128" t="str">
        <f>'4. Water Adjustment'!$A$6</f>
        <v>NEIPA</v>
      </c>
      <c r="B4" s="84"/>
      <c r="C4" s="85"/>
      <c r="D4" s="109" t="s">
        <v>245</v>
      </c>
      <c r="E4" s="109" t="s">
        <v>118</v>
      </c>
      <c r="F4" s="109" t="s">
        <v>286</v>
      </c>
      <c r="G4" s="109" t="s">
        <v>247</v>
      </c>
      <c r="H4" s="109" t="s">
        <v>287</v>
      </c>
      <c r="I4" s="110" t="s">
        <v>123</v>
      </c>
      <c r="J4" s="31"/>
      <c r="K4" s="31"/>
    </row>
    <row r="5" spans="1:30" ht="17.25" customHeight="1" x14ac:dyDescent="0.2">
      <c r="A5" s="743" t="s">
        <v>199</v>
      </c>
      <c r="B5" s="744"/>
      <c r="C5" s="745"/>
      <c r="D5" s="95">
        <f>'4. Water Adjustment'!C7</f>
        <v>0</v>
      </c>
      <c r="E5" s="95">
        <f>'4. Water Adjustment'!D7</f>
        <v>0</v>
      </c>
      <c r="F5" s="95">
        <f>'4. Water Adjustment'!E7</f>
        <v>0</v>
      </c>
      <c r="G5" s="95">
        <f>'4. Water Adjustment'!F7</f>
        <v>0</v>
      </c>
      <c r="H5" s="95">
        <f>'4. Water Adjustment'!G7</f>
        <v>0</v>
      </c>
      <c r="I5" s="96">
        <f>'4. Water Adjustment'!H7</f>
        <v>0</v>
      </c>
      <c r="J5" s="31"/>
      <c r="K5" s="31"/>
    </row>
    <row r="6" spans="1:30" ht="17.25" customHeight="1" x14ac:dyDescent="0.2">
      <c r="A6" s="743" t="s">
        <v>534</v>
      </c>
      <c r="B6" s="744"/>
      <c r="C6" s="745"/>
      <c r="D6" s="95">
        <f>'4. Water Adjustment'!C14</f>
        <v>107.24183486238532</v>
      </c>
      <c r="E6" s="95">
        <f>'4. Water Adjustment'!D14</f>
        <v>4.0983073394495415</v>
      </c>
      <c r="F6" s="95">
        <f>'4. Water Adjustment'!E14</f>
        <v>8</v>
      </c>
      <c r="G6" s="95">
        <f>'4. Water Adjustment'!F14</f>
        <v>77.555394495412841</v>
      </c>
      <c r="H6" s="95">
        <f>'4. Water Adjustment'!G14</f>
        <v>147.42907339449542</v>
      </c>
      <c r="I6" s="96">
        <f ca="1">'4. Water Adjustment'!H14</f>
        <v>-43.738417305657379</v>
      </c>
      <c r="J6" s="31"/>
      <c r="K6" s="31"/>
    </row>
    <row r="7" spans="1:30" ht="17.25" customHeight="1" x14ac:dyDescent="0.2">
      <c r="A7" s="743" t="s">
        <v>206</v>
      </c>
      <c r="B7" s="744"/>
      <c r="C7" s="745"/>
      <c r="D7" s="95">
        <f>'4. Water Adjustment'!C15</f>
        <v>82.610318021201394</v>
      </c>
      <c r="E7" s="95">
        <f>'4. Water Adjustment'!D15</f>
        <v>3.157</v>
      </c>
      <c r="F7" s="95">
        <f>'4. Water Adjustment'!E15</f>
        <v>6.1625441696113068</v>
      </c>
      <c r="G7" s="95">
        <f>'4. Water Adjustment'!F15</f>
        <v>59.742318021201413</v>
      </c>
      <c r="H7" s="95">
        <f>'4. Water Adjustment'!G15</f>
        <v>113.56727208480567</v>
      </c>
      <c r="I7" s="96" t="s">
        <v>565</v>
      </c>
      <c r="J7" s="31"/>
      <c r="K7" s="31"/>
    </row>
    <row r="8" spans="1:30" ht="17.25" customHeight="1" thickBot="1" x14ac:dyDescent="0.25">
      <c r="A8" s="749" t="s">
        <v>281</v>
      </c>
      <c r="B8" s="750"/>
      <c r="C8" s="751"/>
      <c r="D8" s="86" t="s">
        <v>889</v>
      </c>
      <c r="E8" s="87" t="s">
        <v>391</v>
      </c>
      <c r="F8" s="86" t="s">
        <v>278</v>
      </c>
      <c r="G8" s="86" t="s">
        <v>279</v>
      </c>
      <c r="H8" s="86" t="s">
        <v>277</v>
      </c>
      <c r="I8" s="88" t="s">
        <v>280</v>
      </c>
      <c r="J8" s="31"/>
      <c r="K8" s="144"/>
      <c r="L8" s="145"/>
      <c r="M8" s="145"/>
      <c r="N8" s="145"/>
      <c r="O8" s="145"/>
      <c r="P8" s="145"/>
      <c r="Q8" s="145"/>
      <c r="R8" s="145"/>
      <c r="S8" s="145"/>
      <c r="T8" s="145"/>
      <c r="U8" s="145"/>
    </row>
    <row r="9" spans="1:30" ht="17.25" customHeight="1" thickBot="1" x14ac:dyDescent="0.25">
      <c r="A9" s="82"/>
      <c r="B9" s="82"/>
      <c r="C9" s="82"/>
      <c r="D9" s="89"/>
      <c r="E9" s="90"/>
      <c r="F9" s="89"/>
      <c r="G9" s="89"/>
      <c r="H9" s="89"/>
      <c r="I9" s="89"/>
      <c r="J9" s="31"/>
      <c r="K9" s="144"/>
      <c r="L9" s="145"/>
      <c r="M9" s="145"/>
      <c r="N9" s="145"/>
      <c r="O9" s="145"/>
      <c r="P9" s="145"/>
      <c r="Q9" s="145"/>
      <c r="R9" s="145"/>
      <c r="S9" s="145"/>
      <c r="T9" s="145"/>
      <c r="U9" s="145"/>
    </row>
    <row r="10" spans="1:30" ht="16.350000000000001" customHeight="1" thickBot="1" x14ac:dyDescent="0.25">
      <c r="A10" s="777" t="s">
        <v>283</v>
      </c>
      <c r="B10" s="778"/>
      <c r="C10" s="778"/>
      <c r="D10" s="91"/>
      <c r="E10" s="91"/>
      <c r="F10" s="91"/>
      <c r="G10" s="91"/>
      <c r="H10" s="91"/>
      <c r="I10" s="92"/>
      <c r="J10" s="31"/>
      <c r="K10" s="144"/>
      <c r="L10" s="145"/>
      <c r="M10" s="145"/>
      <c r="N10" s="145"/>
      <c r="O10" s="145"/>
      <c r="P10" s="145"/>
      <c r="Q10" s="145"/>
      <c r="R10" s="145"/>
      <c r="S10" s="145"/>
      <c r="T10" s="145"/>
      <c r="U10" s="145"/>
    </row>
    <row r="11" spans="1:30" ht="16.350000000000001" customHeight="1" x14ac:dyDescent="0.2">
      <c r="A11" s="779" t="str">
        <f>N23</f>
        <v>Batch Volume (gallons)</v>
      </c>
      <c r="B11" s="780"/>
      <c r="C11" s="316">
        <f>'4. Water Adjustment'!V18</f>
        <v>11.25</v>
      </c>
      <c r="D11" s="748" t="s">
        <v>290</v>
      </c>
      <c r="E11" s="748"/>
      <c r="F11" s="224">
        <f>(('4. Water Adjustment'!C14/20)+('4. Water Adjustment'!D14/12.15))*50</f>
        <v>284.97004945822482</v>
      </c>
      <c r="G11" s="748" t="s">
        <v>291</v>
      </c>
      <c r="H11" s="748"/>
      <c r="I11" s="94">
        <f ca="1">'4. Water Adjustment'!U17</f>
        <v>-114.87056948535808</v>
      </c>
      <c r="J11" s="31"/>
      <c r="K11" s="144"/>
      <c r="L11" s="145"/>
      <c r="M11" s="145"/>
      <c r="N11" s="145"/>
      <c r="O11" s="145"/>
      <c r="P11" s="145"/>
      <c r="Q11" s="145"/>
      <c r="R11" s="145"/>
      <c r="S11" s="145"/>
      <c r="T11" s="145"/>
      <c r="U11" s="145"/>
      <c r="V11" s="145"/>
      <c r="W11" s="145"/>
      <c r="X11" s="145"/>
      <c r="Y11" s="145"/>
      <c r="Z11" s="145"/>
      <c r="AA11" s="145"/>
      <c r="AB11" s="145"/>
      <c r="AC11" s="145"/>
      <c r="AD11" s="145"/>
    </row>
    <row r="12" spans="1:30" ht="16.350000000000001" customHeight="1" thickBot="1" x14ac:dyDescent="0.25">
      <c r="A12" s="746" t="s">
        <v>276</v>
      </c>
      <c r="B12" s="747"/>
      <c r="C12" s="313">
        <f ca="1">'3. Grain Bill Input'!F24</f>
        <v>5.4000233247637608</v>
      </c>
      <c r="D12" s="764" t="s">
        <v>289</v>
      </c>
      <c r="E12" s="764"/>
      <c r="F12" s="93">
        <f ca="1">'4. Water Adjustment'!V17</f>
        <v>-35.85833195829386</v>
      </c>
      <c r="G12" s="764" t="s">
        <v>288</v>
      </c>
      <c r="H12" s="764"/>
      <c r="I12" s="129">
        <f>'4. Water Adjustment'!N15</f>
        <v>0.52605224132344397</v>
      </c>
      <c r="J12" s="33" t="str">
        <f>IF(H7&gt;100," Ratio may not be valid",IF(H7&lt;25," Ratio may not be valid"," "))</f>
        <v xml:space="preserve"> Ratio may not be valid</v>
      </c>
      <c r="K12" s="144"/>
      <c r="L12" s="145"/>
      <c r="M12" s="145"/>
      <c r="N12" s="145"/>
      <c r="O12" s="145"/>
      <c r="P12" s="145"/>
      <c r="Q12" s="145"/>
      <c r="R12" s="145"/>
      <c r="S12" s="145"/>
      <c r="T12" s="145"/>
      <c r="U12" s="145"/>
      <c r="V12" s="145"/>
      <c r="W12" s="145"/>
      <c r="X12" s="145"/>
      <c r="Y12" s="145"/>
      <c r="Z12" s="145"/>
      <c r="AA12" s="145"/>
      <c r="AB12" s="145"/>
      <c r="AC12" s="145"/>
      <c r="AD12" s="145"/>
    </row>
    <row r="13" spans="1:30" ht="17.25" customHeight="1" thickBot="1" x14ac:dyDescent="0.25">
      <c r="A13" s="31"/>
      <c r="B13" s="31"/>
      <c r="C13" s="31"/>
      <c r="D13" s="31"/>
      <c r="E13" s="31"/>
      <c r="F13" s="31"/>
      <c r="G13" s="31"/>
      <c r="H13" s="31"/>
      <c r="I13" s="31"/>
      <c r="J13" s="31"/>
      <c r="K13" s="144"/>
      <c r="L13" s="145"/>
      <c r="M13" s="145"/>
      <c r="N13" s="145"/>
      <c r="O13" s="145"/>
      <c r="P13" s="145"/>
      <c r="Q13" s="145"/>
      <c r="R13" s="145"/>
      <c r="S13" s="145"/>
      <c r="T13" s="145"/>
      <c r="U13" s="145"/>
      <c r="V13" s="145"/>
      <c r="W13" s="145"/>
      <c r="X13" s="145"/>
      <c r="Y13" s="145"/>
      <c r="Z13" s="145"/>
      <c r="AA13" s="145"/>
      <c r="AB13" s="145"/>
      <c r="AC13" s="145"/>
      <c r="AD13" s="145"/>
    </row>
    <row r="14" spans="1:30" ht="16.5" customHeight="1" x14ac:dyDescent="0.2">
      <c r="A14" s="768" t="s">
        <v>282</v>
      </c>
      <c r="B14" s="769"/>
      <c r="C14" s="770"/>
      <c r="D14" s="738" t="str">
        <f>O23</f>
        <v>Total Mash Water Vol (gal)</v>
      </c>
      <c r="E14" s="739"/>
      <c r="F14" s="317">
        <f>'4. Water Adjustment'!T18</f>
        <v>10.9</v>
      </c>
      <c r="G14" s="738" t="str">
        <f>P23</f>
        <v>Total Sparge Water Vol (gal)</v>
      </c>
      <c r="H14" s="739"/>
      <c r="I14" s="319">
        <f>'4. Water Adjustment'!U18</f>
        <v>3.25</v>
      </c>
      <c r="J14" s="32" t="s">
        <v>454</v>
      </c>
      <c r="K14" s="144"/>
      <c r="L14" s="145"/>
      <c r="M14" s="145"/>
      <c r="N14" s="145"/>
      <c r="O14" s="145"/>
      <c r="P14" s="145"/>
      <c r="Q14" s="145"/>
      <c r="R14" s="145"/>
      <c r="S14" s="145"/>
      <c r="T14" s="145"/>
      <c r="U14" s="145"/>
      <c r="V14" s="145"/>
      <c r="W14" s="145"/>
      <c r="X14" s="145"/>
      <c r="Y14" s="145"/>
      <c r="Z14" s="145"/>
      <c r="AA14" s="145"/>
      <c r="AB14" s="145"/>
      <c r="AC14" s="145"/>
      <c r="AD14" s="145"/>
    </row>
    <row r="15" spans="1:30" ht="16.5" customHeight="1" x14ac:dyDescent="0.2">
      <c r="A15" s="771"/>
      <c r="B15" s="772"/>
      <c r="C15" s="773"/>
      <c r="D15" s="767" t="str">
        <f>Q23</f>
        <v>Mash Dilution Vol (gal)</v>
      </c>
      <c r="E15" s="735"/>
      <c r="F15" s="318">
        <f>'4. Water Adjustment'!B10/100*F14</f>
        <v>10.9</v>
      </c>
      <c r="G15" s="734" t="str">
        <f>R23</f>
        <v>Sparge Dilution Vol (gal)</v>
      </c>
      <c r="H15" s="735"/>
      <c r="I15" s="320">
        <f>'2. Sparge Acidification'!B8/100*I14</f>
        <v>3.25</v>
      </c>
      <c r="J15" s="98"/>
      <c r="K15" s="98"/>
      <c r="L15" s="97"/>
      <c r="M15" s="97"/>
      <c r="N15" s="145"/>
      <c r="O15" s="145"/>
      <c r="P15" s="145"/>
      <c r="Q15" s="145"/>
      <c r="R15" s="145"/>
      <c r="S15" s="145"/>
      <c r="T15" s="145"/>
      <c r="U15" s="145"/>
      <c r="V15" s="145"/>
      <c r="W15" s="145"/>
      <c r="X15" s="145"/>
      <c r="Y15" s="145"/>
      <c r="Z15" s="145"/>
      <c r="AA15" s="145"/>
      <c r="AB15" s="145"/>
      <c r="AC15" s="145"/>
      <c r="AD15" s="145"/>
    </row>
    <row r="16" spans="1:30" ht="16.5" customHeight="1" thickBot="1" x14ac:dyDescent="0.25">
      <c r="A16" s="774"/>
      <c r="B16" s="775"/>
      <c r="C16" s="776"/>
      <c r="D16" s="736" t="s">
        <v>274</v>
      </c>
      <c r="E16" s="736"/>
      <c r="F16" s="736"/>
      <c r="G16" s="736" t="s">
        <v>275</v>
      </c>
      <c r="H16" s="736"/>
      <c r="I16" s="737"/>
      <c r="J16" s="98"/>
      <c r="K16" s="98"/>
      <c r="L16" s="97"/>
      <c r="M16" s="97"/>
      <c r="N16" s="145"/>
      <c r="O16" s="145"/>
      <c r="P16" s="145"/>
      <c r="Q16" s="145"/>
      <c r="R16" s="145"/>
      <c r="S16" s="145"/>
      <c r="T16" s="145"/>
      <c r="U16" s="145"/>
      <c r="V16" s="145"/>
      <c r="W16" s="145"/>
      <c r="X16" s="145"/>
      <c r="Y16" s="145"/>
      <c r="Z16" s="145"/>
      <c r="AA16" s="145"/>
      <c r="AB16" s="145"/>
      <c r="AC16" s="145"/>
      <c r="AD16" s="145"/>
    </row>
    <row r="17" spans="1:30" ht="16.350000000000001" customHeight="1" thickBot="1" x14ac:dyDescent="0.25">
      <c r="A17" s="718" t="s">
        <v>528</v>
      </c>
      <c r="B17" s="719"/>
      <c r="C17" s="720"/>
      <c r="D17" s="740" t="s">
        <v>285</v>
      </c>
      <c r="E17" s="741"/>
      <c r="F17" s="766"/>
      <c r="G17" s="740" t="s">
        <v>285</v>
      </c>
      <c r="H17" s="741"/>
      <c r="I17" s="742"/>
      <c r="J17" s="98"/>
      <c r="K17" s="98"/>
      <c r="L17" s="145"/>
      <c r="M17" s="145"/>
      <c r="N17" s="145"/>
      <c r="O17" s="145"/>
      <c r="P17" s="145"/>
      <c r="Q17" s="145"/>
      <c r="R17" s="145"/>
      <c r="S17" s="145"/>
      <c r="T17" s="97"/>
      <c r="U17" s="145"/>
      <c r="V17" s="145"/>
      <c r="W17" s="145"/>
      <c r="X17" s="145"/>
      <c r="Y17" s="145"/>
      <c r="Z17" s="145"/>
      <c r="AA17" s="145"/>
      <c r="AB17" s="145"/>
      <c r="AC17" s="145"/>
      <c r="AD17" s="145"/>
    </row>
    <row r="18" spans="1:30" ht="16.350000000000001" customHeight="1" x14ac:dyDescent="0.2">
      <c r="A18" s="696" t="s">
        <v>525</v>
      </c>
      <c r="B18" s="697"/>
      <c r="C18" s="698"/>
      <c r="D18" s="706">
        <f>'4. Water Adjustment'!I20</f>
        <v>5.66</v>
      </c>
      <c r="E18" s="707"/>
      <c r="F18" s="765"/>
      <c r="G18" s="706">
        <f>'4. Water Adjustment'!K20</f>
        <v>0</v>
      </c>
      <c r="H18" s="707"/>
      <c r="I18" s="708"/>
      <c r="J18" s="98"/>
      <c r="K18" s="98"/>
      <c r="L18" s="99">
        <v>1</v>
      </c>
      <c r="M18" s="99" t="s">
        <v>392</v>
      </c>
      <c r="N18" s="99" t="s">
        <v>422</v>
      </c>
      <c r="O18" s="99" t="s">
        <v>340</v>
      </c>
      <c r="P18" s="99" t="s">
        <v>341</v>
      </c>
      <c r="Q18" s="99" t="s">
        <v>338</v>
      </c>
      <c r="R18" s="99" t="s">
        <v>339</v>
      </c>
      <c r="S18" s="99"/>
      <c r="T18" s="162"/>
      <c r="U18" s="145"/>
      <c r="V18" s="145"/>
      <c r="W18" s="145"/>
      <c r="X18" s="145"/>
      <c r="Y18" s="145"/>
      <c r="Z18" s="145"/>
      <c r="AA18" s="145"/>
      <c r="AB18" s="145"/>
      <c r="AC18" s="145"/>
      <c r="AD18" s="145"/>
    </row>
    <row r="19" spans="1:30" ht="16.350000000000001" customHeight="1" x14ac:dyDescent="0.2">
      <c r="A19" s="725" t="s">
        <v>387</v>
      </c>
      <c r="B19" s="726"/>
      <c r="C19" s="203" t="str">
        <f>'4. Water Adjustment'!M21</f>
        <v>Anhydrous</v>
      </c>
      <c r="D19" s="712">
        <f>'4. Water Adjustment'!I21</f>
        <v>8.49</v>
      </c>
      <c r="E19" s="713"/>
      <c r="F19" s="724"/>
      <c r="G19" s="712">
        <f>'4. Water Adjustment'!K21</f>
        <v>0</v>
      </c>
      <c r="H19" s="713"/>
      <c r="I19" s="714"/>
      <c r="J19" s="98"/>
      <c r="K19" s="98"/>
      <c r="L19" s="99"/>
      <c r="M19" s="99"/>
      <c r="N19" s="99"/>
      <c r="O19" s="99"/>
      <c r="P19" s="99"/>
      <c r="Q19" s="99"/>
      <c r="R19" s="99"/>
      <c r="S19" s="99"/>
      <c r="T19" s="162"/>
      <c r="U19" s="145"/>
      <c r="V19" s="145"/>
      <c r="W19" s="145"/>
      <c r="X19" s="145"/>
      <c r="Y19" s="145"/>
      <c r="Z19" s="145"/>
      <c r="AA19" s="145"/>
      <c r="AB19" s="145"/>
      <c r="AC19" s="145"/>
      <c r="AD19" s="145"/>
    </row>
    <row r="20" spans="1:30" ht="16.350000000000001" customHeight="1" x14ac:dyDescent="0.2">
      <c r="A20" s="725" t="s">
        <v>526</v>
      </c>
      <c r="B20" s="726"/>
      <c r="C20" s="727"/>
      <c r="D20" s="712">
        <f>'4. Water Adjustment'!I22</f>
        <v>0</v>
      </c>
      <c r="E20" s="713"/>
      <c r="F20" s="724"/>
      <c r="G20" s="712">
        <f>'4. Water Adjustment'!K22</f>
        <v>0</v>
      </c>
      <c r="H20" s="713"/>
      <c r="I20" s="714"/>
      <c r="J20" s="98"/>
      <c r="K20" s="98"/>
      <c r="L20" s="99">
        <v>2</v>
      </c>
      <c r="M20" s="99" t="s">
        <v>271</v>
      </c>
      <c r="N20" s="99" t="s">
        <v>419</v>
      </c>
      <c r="O20" s="99" t="s">
        <v>423</v>
      </c>
      <c r="P20" s="99" t="s">
        <v>426</v>
      </c>
      <c r="Q20" s="99" t="s">
        <v>429</v>
      </c>
      <c r="R20" s="99" t="s">
        <v>432</v>
      </c>
      <c r="S20" s="99"/>
      <c r="T20" s="162"/>
      <c r="U20" s="145"/>
      <c r="V20" s="145"/>
      <c r="W20" s="145" t="str">
        <f>'4. Water Adjustment'!M26</f>
        <v>No</v>
      </c>
      <c r="X20" s="145"/>
      <c r="Y20" s="145"/>
      <c r="Z20" s="145"/>
      <c r="AA20" s="145"/>
      <c r="AB20" s="145"/>
      <c r="AC20" s="145"/>
      <c r="AD20" s="145"/>
    </row>
    <row r="21" spans="1:30" ht="16.350000000000001" customHeight="1" x14ac:dyDescent="0.2">
      <c r="A21" s="725" t="s">
        <v>390</v>
      </c>
      <c r="B21" s="726"/>
      <c r="C21" s="727"/>
      <c r="D21" s="712">
        <f>'4. Water Adjustment'!I23</f>
        <v>1.415</v>
      </c>
      <c r="E21" s="713"/>
      <c r="F21" s="724"/>
      <c r="G21" s="712">
        <f>'4. Water Adjustment'!K23</f>
        <v>0</v>
      </c>
      <c r="H21" s="713"/>
      <c r="I21" s="714"/>
      <c r="J21" s="98"/>
      <c r="K21" s="98"/>
      <c r="L21" s="99">
        <v>3</v>
      </c>
      <c r="M21" s="99" t="s">
        <v>393</v>
      </c>
      <c r="N21" s="99" t="s">
        <v>420</v>
      </c>
      <c r="O21" s="99" t="s">
        <v>424</v>
      </c>
      <c r="P21" s="99" t="s">
        <v>427</v>
      </c>
      <c r="Q21" s="99" t="s">
        <v>430</v>
      </c>
      <c r="R21" s="99" t="s">
        <v>433</v>
      </c>
      <c r="S21" s="99"/>
      <c r="T21" s="162"/>
      <c r="U21" s="145"/>
      <c r="V21" s="145"/>
      <c r="W21" s="145"/>
      <c r="X21" s="145"/>
      <c r="Y21" s="145"/>
      <c r="Z21" s="145"/>
      <c r="AA21" s="145"/>
      <c r="AB21" s="145"/>
      <c r="AC21" s="145"/>
      <c r="AD21" s="145"/>
    </row>
    <row r="22" spans="1:30" ht="16.350000000000001" customHeight="1" x14ac:dyDescent="0.2">
      <c r="A22" s="725" t="s">
        <v>152</v>
      </c>
      <c r="B22" s="726"/>
      <c r="C22" s="727"/>
      <c r="D22" s="302"/>
      <c r="E22" s="303">
        <f>'4. Water Adjustment'!I24</f>
        <v>0</v>
      </c>
      <c r="F22" s="304"/>
      <c r="G22" s="302"/>
      <c r="H22" s="303">
        <f>'4. Water Adjustment'!K24</f>
        <v>0</v>
      </c>
      <c r="I22" s="305"/>
      <c r="J22" s="98"/>
      <c r="K22" s="98"/>
      <c r="L22" s="99">
        <v>4</v>
      </c>
      <c r="M22" s="99" t="s">
        <v>394</v>
      </c>
      <c r="N22" s="99" t="s">
        <v>421</v>
      </c>
      <c r="O22" s="99" t="s">
        <v>425</v>
      </c>
      <c r="P22" s="99" t="s">
        <v>428</v>
      </c>
      <c r="Q22" s="99" t="s">
        <v>431</v>
      </c>
      <c r="R22" s="99" t="s">
        <v>434</v>
      </c>
      <c r="S22" s="99"/>
      <c r="T22" s="162"/>
      <c r="U22" s="145"/>
      <c r="V22" s="145"/>
      <c r="W22" s="145"/>
      <c r="X22" s="145"/>
      <c r="Y22" s="145"/>
      <c r="Z22" s="145"/>
      <c r="AA22" s="145"/>
      <c r="AB22" s="145"/>
      <c r="AC22" s="145"/>
      <c r="AD22" s="145"/>
    </row>
    <row r="23" spans="1:30" ht="16.350000000000001" customHeight="1" x14ac:dyDescent="0.2">
      <c r="A23" s="725" t="s">
        <v>386</v>
      </c>
      <c r="B23" s="726"/>
      <c r="C23" s="727"/>
      <c r="D23" s="712">
        <f>'4. Water Adjustment'!I25</f>
        <v>0</v>
      </c>
      <c r="E23" s="713"/>
      <c r="F23" s="724"/>
      <c r="G23" s="712" t="s">
        <v>284</v>
      </c>
      <c r="H23" s="713"/>
      <c r="I23" s="714"/>
      <c r="J23" s="98"/>
      <c r="K23" s="98"/>
      <c r="L23" s="268">
        <f>VLOOKUP('1. Water Report Input'!$H$7,Adjvaritable,1,FALSE)</f>
        <v>1</v>
      </c>
      <c r="M23" s="266" t="str">
        <f>VLOOKUP('1. Water Report Input'!$H$7,Adjvaritable,2,FALSE)</f>
        <v>Gallons</v>
      </c>
      <c r="N23" s="265" t="str">
        <f>VLOOKUP('1. Water Report Input'!$H$7,Adjvaritable,3,FALSE)</f>
        <v>Batch Volume (gallons)</v>
      </c>
      <c r="O23" s="265" t="str">
        <f>VLOOKUP('1. Water Report Input'!$H$7,Adjvaritable,4,FALSE)</f>
        <v>Total Mash Water Vol (gal)</v>
      </c>
      <c r="P23" s="265" t="str">
        <f>VLOOKUP('1. Water Report Input'!$H$7,Adjvaritable,5,FALSE)</f>
        <v>Total Sparge Water Vol (gal)</v>
      </c>
      <c r="Q23" s="268" t="str">
        <f>VLOOKUP('1. Water Report Input'!$H$7,Adjvaritable,6,FALSE)</f>
        <v>Mash Dilution Vol (gal)</v>
      </c>
      <c r="R23" s="266" t="str">
        <f>VLOOKUP('1. Water Report Input'!$H$7,Adjvaritable,7,FALSE)</f>
        <v>Sparge Dilution Vol (gal)</v>
      </c>
      <c r="S23" s="99"/>
      <c r="T23" s="162"/>
      <c r="U23" s="145"/>
      <c r="V23" s="145"/>
      <c r="W23" s="145"/>
      <c r="X23" s="145"/>
      <c r="Y23" s="145"/>
      <c r="Z23" s="145"/>
      <c r="AA23" s="145"/>
      <c r="AB23" s="145"/>
      <c r="AC23" s="145"/>
      <c r="AD23" s="145"/>
    </row>
    <row r="24" spans="1:30" ht="16.350000000000001" customHeight="1" x14ac:dyDescent="0.2">
      <c r="A24" s="725" t="s">
        <v>388</v>
      </c>
      <c r="B24" s="726"/>
      <c r="C24" s="727"/>
      <c r="D24" s="712">
        <f>'4. Water Adjustment'!I26</f>
        <v>0</v>
      </c>
      <c r="E24" s="713"/>
      <c r="F24" s="724"/>
      <c r="G24" s="712" t="s">
        <v>284</v>
      </c>
      <c r="H24" s="713"/>
      <c r="I24" s="714"/>
      <c r="J24" s="98"/>
      <c r="K24" s="98"/>
      <c r="L24" s="145"/>
      <c r="M24" s="145"/>
      <c r="N24" s="145"/>
      <c r="O24" s="145"/>
      <c r="P24" s="145"/>
      <c r="Q24" s="145"/>
      <c r="R24" s="145"/>
      <c r="S24" s="145"/>
      <c r="T24" s="97"/>
      <c r="U24" s="145"/>
      <c r="V24" s="145"/>
      <c r="W24" s="145"/>
      <c r="X24" s="145"/>
      <c r="Y24" s="145"/>
      <c r="Z24" s="145"/>
      <c r="AA24" s="145"/>
      <c r="AB24" s="145"/>
      <c r="AC24" s="145"/>
      <c r="AD24" s="145"/>
    </row>
    <row r="25" spans="1:30" ht="16.350000000000001" customHeight="1" x14ac:dyDescent="0.2">
      <c r="A25" s="725" t="s">
        <v>389</v>
      </c>
      <c r="B25" s="726"/>
      <c r="C25" s="727"/>
      <c r="D25" s="712">
        <f>'4. Water Adjustment'!I27</f>
        <v>0</v>
      </c>
      <c r="E25" s="713"/>
      <c r="F25" s="724"/>
      <c r="G25" s="712" t="s">
        <v>284</v>
      </c>
      <c r="H25" s="713"/>
      <c r="I25" s="714"/>
      <c r="J25" s="98"/>
      <c r="K25" s="98"/>
      <c r="L25" s="145"/>
      <c r="M25" s="145"/>
      <c r="N25" s="145"/>
      <c r="O25" s="145"/>
      <c r="P25" s="145"/>
      <c r="Q25" s="145"/>
      <c r="R25" s="145"/>
      <c r="S25" s="145"/>
      <c r="T25" s="97"/>
      <c r="U25" s="145"/>
      <c r="V25" s="145"/>
      <c r="W25" s="145"/>
      <c r="X25" s="145"/>
      <c r="Y25" s="145"/>
      <c r="Z25" s="145"/>
      <c r="AA25" s="145"/>
      <c r="AB25" s="145"/>
      <c r="AC25" s="145"/>
      <c r="AD25" s="145"/>
    </row>
    <row r="26" spans="1:30" ht="16.350000000000001" customHeight="1" thickBot="1" x14ac:dyDescent="0.25">
      <c r="A26" s="699" t="s">
        <v>962</v>
      </c>
      <c r="B26" s="700"/>
      <c r="C26" s="701"/>
      <c r="D26" s="721">
        <f>'4. Water Adjustment'!I28</f>
        <v>0</v>
      </c>
      <c r="E26" s="722"/>
      <c r="F26" s="723"/>
      <c r="G26" s="728">
        <f>'4. Water Adjustment'!K28</f>
        <v>0</v>
      </c>
      <c r="H26" s="729"/>
      <c r="I26" s="730"/>
      <c r="J26" s="98"/>
      <c r="K26" s="98"/>
      <c r="L26" s="145"/>
      <c r="M26" s="145"/>
      <c r="N26" s="145"/>
      <c r="O26" s="145"/>
      <c r="P26" s="145"/>
      <c r="Q26" s="145"/>
      <c r="R26" s="145"/>
      <c r="S26" s="145"/>
      <c r="T26" s="97"/>
      <c r="U26" s="145"/>
      <c r="V26" s="145"/>
      <c r="W26" s="145"/>
      <c r="X26" s="145"/>
      <c r="Y26" s="145"/>
      <c r="Z26" s="145"/>
      <c r="AA26" s="145"/>
      <c r="AB26" s="145"/>
      <c r="AC26" s="145"/>
      <c r="AD26" s="145"/>
    </row>
    <row r="27" spans="1:30" ht="16.350000000000001" customHeight="1" thickBot="1" x14ac:dyDescent="0.25">
      <c r="A27" s="718" t="s">
        <v>502</v>
      </c>
      <c r="B27" s="719"/>
      <c r="C27" s="720"/>
      <c r="D27" s="709"/>
      <c r="E27" s="710"/>
      <c r="F27" s="710"/>
      <c r="G27" s="709"/>
      <c r="H27" s="710"/>
      <c r="I27" s="711"/>
      <c r="J27" s="98"/>
      <c r="K27" s="98"/>
      <c r="L27" s="145"/>
      <c r="M27" s="145"/>
      <c r="N27" s="145"/>
      <c r="O27" s="145"/>
      <c r="P27" s="145"/>
      <c r="Q27" s="145"/>
      <c r="R27" s="145"/>
      <c r="S27" s="145"/>
      <c r="T27" s="97"/>
      <c r="U27" s="145"/>
      <c r="V27" s="145"/>
      <c r="W27" s="145"/>
      <c r="X27" s="145"/>
      <c r="Y27" s="145"/>
      <c r="Z27" s="145"/>
      <c r="AA27" s="145"/>
      <c r="AB27" s="145"/>
      <c r="AC27" s="145"/>
      <c r="AD27" s="145"/>
    </row>
    <row r="28" spans="1:30" ht="16.350000000000001" customHeight="1" x14ac:dyDescent="0.2">
      <c r="A28" s="225" t="str">
        <f>IF('4. Water Adjustment'!B$31=0," ",'4. Water Adjustment'!U36)</f>
        <v>Phosphoric</v>
      </c>
      <c r="B28" s="226">
        <f>IF('4. Water Adjustment'!B31=0," ",'4. Water Adjustment'!D31)</f>
        <v>85</v>
      </c>
      <c r="C28" s="227" t="str">
        <f>IF('4. Water Adjustment'!B31=0," ",'4. Water Adjustment'!U9)</f>
        <v>%</v>
      </c>
      <c r="D28" s="228"/>
      <c r="E28" s="306">
        <f>'4. Water Adjustment'!I31</f>
        <v>2.7250000000000001</v>
      </c>
      <c r="F28" s="229" t="str">
        <f>IF('4. Water Adjustment'!H30="total acid addition (ml)","(ml)","(grams)")</f>
        <v>(ml)</v>
      </c>
      <c r="G28" s="715"/>
      <c r="H28" s="716"/>
      <c r="I28" s="717"/>
      <c r="J28" s="98"/>
      <c r="K28" s="98"/>
      <c r="L28" s="145"/>
      <c r="M28" s="145"/>
      <c r="N28" s="145"/>
      <c r="O28" s="145"/>
      <c r="P28" s="145"/>
      <c r="Q28" s="145"/>
      <c r="R28" s="145"/>
      <c r="S28" s="145"/>
      <c r="T28" s="145"/>
      <c r="U28" s="145"/>
      <c r="V28" s="145"/>
      <c r="W28" s="145"/>
      <c r="X28" s="145"/>
      <c r="Y28" s="145"/>
      <c r="Z28" s="145"/>
      <c r="AA28" s="145"/>
      <c r="AB28" s="145"/>
      <c r="AC28" s="145"/>
      <c r="AD28" s="145"/>
    </row>
    <row r="29" spans="1:30" ht="16.350000000000001" customHeight="1" x14ac:dyDescent="0.2">
      <c r="A29" s="230" t="str">
        <f>IF('4. Water Adjustment'!B$33=0," ",'4. Water Adjustment'!AO35)</f>
        <v xml:space="preserve"> </v>
      </c>
      <c r="B29" s="231" t="str">
        <f>IF('4. Water Adjustment'!B33=0," ",'4. Water Adjustment'!D33)</f>
        <v xml:space="preserve"> </v>
      </c>
      <c r="C29" s="232" t="str">
        <f>IF('4. Water Adjustment'!B33=0," ",'4. Water Adjustment'!AF9)</f>
        <v xml:space="preserve"> </v>
      </c>
      <c r="D29" s="233"/>
      <c r="E29" s="303">
        <f>'4. Water Adjustment'!I33</f>
        <v>0</v>
      </c>
      <c r="F29" s="234" t="str">
        <f>IF('4. Water Adjustment'!H32="total acid addition (ml)","(ml)","(grams)")</f>
        <v>(ml)</v>
      </c>
      <c r="G29" s="731"/>
      <c r="H29" s="732"/>
      <c r="I29" s="733"/>
      <c r="J29" s="14"/>
      <c r="K29" s="98"/>
      <c r="L29" s="145"/>
      <c r="M29" s="145"/>
      <c r="N29" s="145"/>
      <c r="O29" s="145"/>
      <c r="P29" s="145"/>
      <c r="Q29" s="145"/>
      <c r="R29" s="145" t="s">
        <v>549</v>
      </c>
      <c r="S29" s="145"/>
      <c r="T29" s="145"/>
      <c r="U29" s="145"/>
      <c r="V29" s="145"/>
      <c r="W29" s="145"/>
      <c r="X29" s="145"/>
      <c r="Y29" s="145"/>
      <c r="Z29" s="145"/>
      <c r="AA29" s="145"/>
      <c r="AB29" s="145"/>
      <c r="AC29" s="145"/>
      <c r="AD29" s="145"/>
    </row>
    <row r="30" spans="1:30" ht="16.350000000000001" customHeight="1" x14ac:dyDescent="0.2">
      <c r="A30" s="230" t="str">
        <f>IF('2. Sparge Acidification'!B$15=100," ",'2. Sparge Acidification'!B56)</f>
        <v>Phosphoric</v>
      </c>
      <c r="B30" s="231">
        <f>IF('2. Sparge Acidification'!B$15=100," ",'2. Sparge Acidification'!B14)</f>
        <v>10</v>
      </c>
      <c r="C30" s="232" t="str">
        <f>IF('2. Sparge Acidification'!B$15=100," ",'2. Sparge Acidification'!B63)</f>
        <v>%</v>
      </c>
      <c r="D30" s="731"/>
      <c r="E30" s="732"/>
      <c r="F30" s="763"/>
      <c r="G30" s="235"/>
      <c r="H30" s="303">
        <f>IF('2. Sparge Acidification'!B12=1,'5. Adjustment Summary'!I14*'2. Sparge Acidification'!B20,'2. Sparge Acidification'!B20)</f>
        <v>1.495969866718776</v>
      </c>
      <c r="I30" s="236" t="str">
        <f>IF('4. Water Adjustment'!J34="total acid addition (ml)","(ml)","(grams)")</f>
        <v>(ml)</v>
      </c>
      <c r="J30" s="14"/>
      <c r="K30" s="98"/>
      <c r="L30" s="145"/>
      <c r="M30" s="145"/>
      <c r="N30" s="145"/>
      <c r="O30" s="264" t="s">
        <v>580</v>
      </c>
      <c r="P30" s="264">
        <v>100</v>
      </c>
      <c r="Q30" s="145"/>
      <c r="R30" s="145" t="s">
        <v>550</v>
      </c>
      <c r="S30" s="145"/>
      <c r="T30" s="145"/>
      <c r="U30" s="145"/>
      <c r="V30" s="145"/>
      <c r="W30" s="145"/>
      <c r="X30" s="145"/>
      <c r="Y30" s="145"/>
      <c r="Z30" s="145"/>
      <c r="AA30" s="145"/>
      <c r="AB30" s="145"/>
      <c r="AC30" s="145"/>
      <c r="AD30" s="145"/>
    </row>
    <row r="31" spans="1:30" ht="16.350000000000001" customHeight="1" thickBot="1" x14ac:dyDescent="0.25">
      <c r="A31" s="237" t="str">
        <f>IF('2. Sparge Acidification'!B$15=0," ",'2. Sparge Acidification'!B83)</f>
        <v xml:space="preserve"> </v>
      </c>
      <c r="B31" s="238" t="str">
        <f>IF('2. Sparge Acidification'!B$15=0," ",'2. Sparge Acidification'!B17)</f>
        <v xml:space="preserve"> </v>
      </c>
      <c r="C31" s="239" t="str">
        <f>IF('2. Sparge Acidification'!B$15=0," ",'2. Sparge Acidification'!B90)</f>
        <v xml:space="preserve"> </v>
      </c>
      <c r="D31" s="703"/>
      <c r="E31" s="704"/>
      <c r="F31" s="705"/>
      <c r="G31" s="240"/>
      <c r="H31" s="296">
        <f>IF('2. Sparge Acidification'!B12=1,'5. Adjustment Summary'!I14*'2. Sparge Acidification'!B21,'2. Sparge Acidification'!B21)</f>
        <v>0</v>
      </c>
      <c r="I31" s="241" t="str">
        <f>IF('4. Water Adjustment'!J36="total acid addition (ml)","(ml)","(grams)")</f>
        <v>(ml)</v>
      </c>
      <c r="J31" s="14"/>
      <c r="K31" s="31"/>
      <c r="L31" s="145"/>
      <c r="M31" s="145"/>
      <c r="N31" s="145"/>
      <c r="O31" s="264" t="s">
        <v>578</v>
      </c>
      <c r="P31" s="264">
        <v>150</v>
      </c>
      <c r="Q31" s="145"/>
      <c r="R31" s="145"/>
      <c r="S31" s="145"/>
      <c r="T31" s="145"/>
      <c r="U31" s="145"/>
      <c r="V31" s="145"/>
      <c r="W31" s="145"/>
      <c r="X31" s="145"/>
      <c r="Y31" s="145"/>
      <c r="Z31" s="145"/>
      <c r="AA31" s="145"/>
      <c r="AB31" s="145"/>
      <c r="AC31" s="145"/>
      <c r="AD31" s="145"/>
    </row>
    <row r="32" spans="1:30" ht="16.350000000000001" customHeight="1" x14ac:dyDescent="0.2">
      <c r="A32" s="263">
        <f>IF('4. Water Adjustment'!$AH51=0," ",'4. Water Adjustment'!$AH51)</f>
        <v>75.684641909681986</v>
      </c>
      <c r="B32" s="261" t="str">
        <f>'4. Water Adjustment'!$AI51</f>
        <v>(ppm) Phosphate added to water</v>
      </c>
      <c r="C32" s="262"/>
      <c r="D32" s="220"/>
      <c r="E32" s="243" t="str">
        <f>IF(A32=" "," ",IF(A32&gt;VLOOKUP(B32,thresholdtable,2),"May be over taste threshold","Expected to be under taste threshold"))</f>
        <v>Expected to be under taste threshold</v>
      </c>
      <c r="F32" s="220"/>
      <c r="G32" s="1"/>
      <c r="H32" s="220"/>
      <c r="I32" s="112"/>
      <c r="J32" s="14"/>
      <c r="K32" s="31"/>
      <c r="L32" s="145"/>
      <c r="M32" s="145"/>
      <c r="N32" s="145"/>
      <c r="O32" s="264" t="s">
        <v>575</v>
      </c>
      <c r="P32" s="264">
        <v>175</v>
      </c>
      <c r="Q32" s="145"/>
      <c r="R32" s="145"/>
      <c r="S32" s="145"/>
      <c r="T32" s="145"/>
      <c r="U32" s="145"/>
      <c r="V32" s="145"/>
      <c r="W32" s="145"/>
      <c r="X32" s="145"/>
      <c r="Y32" s="145"/>
      <c r="Z32" s="145"/>
      <c r="AA32" s="145"/>
      <c r="AB32" s="145"/>
      <c r="AC32" s="145"/>
      <c r="AD32" s="145"/>
    </row>
    <row r="33" spans="1:37" ht="16.350000000000001" customHeight="1" x14ac:dyDescent="0.2">
      <c r="A33" s="263" t="str">
        <f>IF('4. Water Adjustment'!$AH52=0," ",'4. Water Adjustment'!$AH52)</f>
        <v xml:space="preserve"> </v>
      </c>
      <c r="B33" s="261" t="str">
        <f>'4. Water Adjustment'!$AI52</f>
        <v xml:space="preserve"> </v>
      </c>
      <c r="C33" s="262"/>
      <c r="D33" s="220"/>
      <c r="E33" s="243" t="str">
        <f>IF(A33=" "," ",IF(A33&gt;VLOOKUP(B33,thresholdtable,2),"May be over taste threshold","Expected to be under taste threshold"))</f>
        <v xml:space="preserve"> </v>
      </c>
      <c r="F33" s="220"/>
      <c r="G33" s="1"/>
      <c r="H33" s="220"/>
      <c r="I33" s="112"/>
      <c r="J33" s="14"/>
      <c r="K33" s="31"/>
      <c r="L33" s="145"/>
      <c r="M33" s="145"/>
      <c r="N33" s="145"/>
      <c r="O33" s="264" t="s">
        <v>576</v>
      </c>
      <c r="P33" s="264">
        <v>400</v>
      </c>
      <c r="Q33" s="145"/>
      <c r="R33" s="145"/>
      <c r="S33" s="145"/>
      <c r="T33" s="145"/>
      <c r="U33" s="145"/>
      <c r="V33" s="145"/>
      <c r="W33" s="145"/>
      <c r="X33" s="145"/>
      <c r="Y33" s="145"/>
      <c r="Z33" s="145"/>
      <c r="AA33" s="145"/>
      <c r="AB33" s="145"/>
      <c r="AC33" s="145"/>
      <c r="AD33" s="145"/>
    </row>
    <row r="34" spans="1:37" ht="16.350000000000001" customHeight="1" x14ac:dyDescent="0.2">
      <c r="A34" s="263" t="str">
        <f>IF('4. Water Adjustment'!$AH53=0," ",'4. Water Adjustment'!$AH53)</f>
        <v xml:space="preserve"> </v>
      </c>
      <c r="B34" s="261" t="str">
        <f>'4. Water Adjustment'!$AI53</f>
        <v xml:space="preserve"> </v>
      </c>
      <c r="C34" s="262"/>
      <c r="D34" s="220"/>
      <c r="E34" s="243" t="str">
        <f>IF(A34=" "," ",IF(A34&gt;VLOOKUP(B34,thresholdtable,2),"May be over taste threshold","Expected to be under taste threshold"))</f>
        <v xml:space="preserve"> </v>
      </c>
      <c r="F34" s="220"/>
      <c r="G34" s="1"/>
      <c r="H34" s="220"/>
      <c r="I34" s="112"/>
      <c r="J34" s="14"/>
      <c r="K34" s="31"/>
      <c r="L34" s="145"/>
      <c r="M34" s="145"/>
      <c r="N34" s="145"/>
      <c r="O34" s="264" t="s">
        <v>579</v>
      </c>
      <c r="P34" s="264">
        <v>600</v>
      </c>
      <c r="Q34" s="145"/>
      <c r="R34" s="145"/>
      <c r="S34" s="145"/>
      <c r="T34" s="145"/>
      <c r="U34" s="145"/>
      <c r="V34" s="145"/>
      <c r="W34" s="145"/>
      <c r="X34" s="145"/>
      <c r="Y34" s="145"/>
      <c r="Z34" s="145"/>
      <c r="AA34" s="145"/>
      <c r="AB34" s="145"/>
      <c r="AC34" s="145"/>
      <c r="AD34" s="145"/>
    </row>
    <row r="35" spans="1:37" ht="16.350000000000001" customHeight="1" x14ac:dyDescent="0.2">
      <c r="A35" s="263" t="str">
        <f>IF('4. Water Adjustment'!$AH54=0," ",'4. Water Adjustment'!$AH54)</f>
        <v xml:space="preserve"> </v>
      </c>
      <c r="B35" s="261" t="str">
        <f>'4. Water Adjustment'!$AI54</f>
        <v xml:space="preserve"> </v>
      </c>
      <c r="C35" s="262"/>
      <c r="D35" s="220"/>
      <c r="E35" s="243" t="str">
        <f>IF(A35=" "," ",IF(A35&gt;VLOOKUP(B35,thresholdtable,2),"May be over taste threshold","Expected to be under taste threshold"))</f>
        <v xml:space="preserve"> </v>
      </c>
      <c r="F35" s="220"/>
      <c r="G35" s="1"/>
      <c r="H35" s="220"/>
      <c r="I35" s="112"/>
      <c r="J35" s="14"/>
      <c r="K35" s="31"/>
      <c r="L35" s="145"/>
      <c r="M35" s="145"/>
      <c r="N35" s="264"/>
      <c r="O35" s="264" t="s">
        <v>577</v>
      </c>
      <c r="P35" s="264">
        <v>1000</v>
      </c>
      <c r="Q35" s="145"/>
      <c r="R35" s="145"/>
      <c r="S35" s="145"/>
      <c r="T35" s="145"/>
      <c r="U35" s="145"/>
      <c r="V35" s="145"/>
      <c r="W35" s="145"/>
      <c r="X35" s="145"/>
      <c r="Y35" s="145"/>
      <c r="Z35" s="145"/>
      <c r="AA35" s="145"/>
      <c r="AB35" s="145"/>
      <c r="AC35" s="145"/>
      <c r="AD35" s="145"/>
    </row>
    <row r="36" spans="1:37" ht="16.350000000000001" customHeight="1" x14ac:dyDescent="0.2">
      <c r="A36" s="702" t="str">
        <f>IF('4. Water Adjustment'!M26="yes","Add all minerals directly to kettle",IF('4. Water Adjustment'!M25="yes","Add all sparging mineral additions to mash"," "))</f>
        <v>Add all sparging mineral additions to mash</v>
      </c>
      <c r="B36" s="702"/>
      <c r="C36" s="702"/>
      <c r="D36" s="702"/>
      <c r="E36" s="702"/>
      <c r="F36" s="702"/>
      <c r="G36" s="702"/>
      <c r="H36" s="702"/>
      <c r="I36" s="702"/>
      <c r="J36" s="14"/>
      <c r="K36" s="31"/>
      <c r="L36" s="248"/>
      <c r="M36" s="97"/>
      <c r="N36" s="97"/>
      <c r="O36" s="97"/>
      <c r="P36" s="97"/>
      <c r="Q36" s="97"/>
      <c r="R36" s="97"/>
      <c r="S36" s="145"/>
      <c r="T36" s="145"/>
      <c r="U36" s="145"/>
      <c r="V36" s="145"/>
      <c r="W36" s="145"/>
      <c r="X36" s="145"/>
      <c r="Y36" s="145"/>
      <c r="Z36" s="145"/>
      <c r="AA36" s="145"/>
      <c r="AB36" s="145"/>
      <c r="AC36" s="145"/>
      <c r="AD36" s="145"/>
    </row>
    <row r="37" spans="1:37" ht="16.350000000000001" customHeight="1" x14ac:dyDescent="0.2">
      <c r="A37" s="702" t="str">
        <f>IF('3. Grain Bill Input'!F20="yes","Reserve Crystal Malts from Main Mash"," ")</f>
        <v xml:space="preserve"> </v>
      </c>
      <c r="B37" s="702"/>
      <c r="C37" s="702"/>
      <c r="D37" s="702"/>
      <c r="E37" s="702"/>
      <c r="F37" s="702" t="str">
        <f>IF('3. Grain Bill Input'!F21="yes","Reserve Roast Malts from Main Mash"," ")</f>
        <v xml:space="preserve"> </v>
      </c>
      <c r="G37" s="702"/>
      <c r="H37" s="702"/>
      <c r="I37" s="702"/>
      <c r="J37" s="14"/>
      <c r="K37" s="31"/>
      <c r="L37" s="248"/>
      <c r="M37" s="97"/>
      <c r="N37" s="97"/>
      <c r="O37" s="271"/>
      <c r="P37" s="98"/>
      <c r="Q37" s="97"/>
      <c r="R37" s="97"/>
      <c r="S37" s="145"/>
      <c r="T37" s="145"/>
      <c r="U37" s="145"/>
      <c r="V37" s="145"/>
      <c r="W37" s="145"/>
      <c r="X37" s="145"/>
      <c r="Y37" s="145"/>
      <c r="Z37" s="145"/>
      <c r="AA37" s="145"/>
      <c r="AB37" s="145"/>
      <c r="AC37" s="145"/>
      <c r="AD37" s="145"/>
    </row>
    <row r="38" spans="1:37" ht="53.65" customHeight="1" x14ac:dyDescent="0.25">
      <c r="A38" s="695" t="s">
        <v>975</v>
      </c>
      <c r="B38" s="695"/>
      <c r="C38" s="695"/>
      <c r="D38" s="695"/>
      <c r="E38" s="695"/>
      <c r="F38" s="695"/>
      <c r="G38" s="695"/>
      <c r="H38" s="695"/>
      <c r="I38" s="695"/>
      <c r="J38" s="31"/>
      <c r="K38" s="31"/>
      <c r="L38" s="248"/>
      <c r="M38" s="97"/>
      <c r="N38" s="97"/>
      <c r="O38" s="97"/>
      <c r="P38" s="97"/>
      <c r="Q38" s="97"/>
      <c r="R38" s="97"/>
      <c r="S38" s="145"/>
      <c r="T38" s="145"/>
      <c r="U38" s="145"/>
      <c r="V38" s="145"/>
      <c r="W38" s="145"/>
      <c r="X38" s="145"/>
      <c r="Y38" s="145"/>
      <c r="Z38" s="145"/>
      <c r="AA38" s="145"/>
      <c r="AB38" s="145"/>
      <c r="AC38" s="145"/>
      <c r="AD38" s="145"/>
    </row>
    <row r="39" spans="1:37" ht="18" customHeight="1" x14ac:dyDescent="0.2">
      <c r="A39" s="1" t="s">
        <v>990</v>
      </c>
      <c r="N39" s="145"/>
      <c r="O39" s="145"/>
      <c r="P39" s="145"/>
      <c r="Q39" s="145"/>
      <c r="R39" s="145"/>
      <c r="S39" s="145"/>
      <c r="T39" s="145"/>
      <c r="U39" s="145"/>
      <c r="V39" s="145"/>
      <c r="W39" s="145"/>
      <c r="X39" s="145"/>
      <c r="Y39" s="145"/>
      <c r="Z39" s="145"/>
      <c r="AA39" s="145"/>
      <c r="AB39" s="145"/>
      <c r="AC39" s="145"/>
      <c r="AD39" s="145"/>
    </row>
    <row r="40" spans="1:37" x14ac:dyDescent="0.2">
      <c r="A40" s="147" t="s">
        <v>453</v>
      </c>
      <c r="N40" s="145"/>
      <c r="O40" s="145"/>
      <c r="P40" s="145"/>
      <c r="Q40" s="145"/>
      <c r="R40" s="145"/>
      <c r="S40" s="145"/>
      <c r="T40" s="145"/>
      <c r="U40" s="145"/>
      <c r="V40" s="145"/>
      <c r="W40" s="145"/>
      <c r="X40" s="145"/>
      <c r="Y40" s="145"/>
      <c r="Z40" s="145"/>
      <c r="AA40" s="145"/>
      <c r="AB40" s="145"/>
      <c r="AC40" s="145"/>
      <c r="AD40" s="145"/>
    </row>
    <row r="41" spans="1:37" x14ac:dyDescent="0.2">
      <c r="N41" s="145"/>
      <c r="O41" s="145"/>
      <c r="P41" s="145"/>
      <c r="Q41" s="145"/>
      <c r="R41" s="145"/>
      <c r="S41" s="145"/>
      <c r="T41" s="145"/>
      <c r="U41" s="145"/>
      <c r="V41" s="145"/>
      <c r="W41" s="145"/>
      <c r="X41" s="145"/>
      <c r="Y41" s="145"/>
      <c r="Z41" s="145"/>
      <c r="AA41" s="145"/>
      <c r="AB41" s="145"/>
      <c r="AC41" s="145"/>
      <c r="AD41" s="145"/>
    </row>
    <row r="42" spans="1:37" x14ac:dyDescent="0.2">
      <c r="N42" s="145"/>
      <c r="O42" s="145"/>
      <c r="P42" s="145"/>
      <c r="Q42" s="145"/>
      <c r="R42" s="145"/>
      <c r="S42" s="145"/>
      <c r="T42" s="145"/>
      <c r="U42" s="145"/>
      <c r="V42" s="145"/>
      <c r="W42" s="145"/>
      <c r="X42" s="145"/>
      <c r="Y42" s="145"/>
      <c r="Z42" s="145"/>
      <c r="AA42" s="145"/>
      <c r="AB42" s="145"/>
      <c r="AC42" s="145"/>
      <c r="AD42" s="145"/>
    </row>
    <row r="43" spans="1:37" x14ac:dyDescent="0.2">
      <c r="N43" s="145"/>
      <c r="O43" s="145"/>
      <c r="P43" s="145"/>
      <c r="Q43" s="145"/>
      <c r="R43" s="145"/>
      <c r="S43" s="145"/>
      <c r="T43" s="145"/>
      <c r="U43" s="145"/>
      <c r="V43" s="145"/>
      <c r="W43" s="145"/>
      <c r="X43" s="145"/>
      <c r="Y43" s="145"/>
      <c r="Z43" s="145"/>
      <c r="AA43" s="145"/>
      <c r="AB43" s="145"/>
      <c r="AC43" s="145"/>
      <c r="AD43" s="145"/>
      <c r="AE43" s="145"/>
      <c r="AF43" s="145"/>
      <c r="AG43" s="145"/>
      <c r="AH43" s="145"/>
      <c r="AI43" s="145"/>
      <c r="AJ43" s="145"/>
      <c r="AK43" s="145"/>
    </row>
    <row r="44" spans="1:37" x14ac:dyDescent="0.2">
      <c r="N44" s="145"/>
      <c r="O44" s="145"/>
      <c r="P44" s="145"/>
      <c r="Q44" s="145"/>
      <c r="R44" s="145"/>
      <c r="S44" s="145"/>
      <c r="T44" s="145"/>
      <c r="U44" s="145"/>
      <c r="V44" s="145"/>
      <c r="W44" s="145"/>
      <c r="X44" s="145"/>
      <c r="Y44" s="145"/>
      <c r="Z44" s="145"/>
      <c r="AA44" s="145"/>
      <c r="AB44" s="145"/>
      <c r="AC44" s="145"/>
      <c r="AD44" s="145"/>
      <c r="AE44" s="145"/>
      <c r="AF44" s="145"/>
      <c r="AG44" s="145"/>
      <c r="AH44" s="145"/>
      <c r="AI44" s="145"/>
      <c r="AJ44" s="145"/>
      <c r="AK44" s="145"/>
    </row>
    <row r="45" spans="1:37" x14ac:dyDescent="0.2">
      <c r="N45" s="145"/>
      <c r="O45" s="145"/>
      <c r="P45" s="145"/>
      <c r="Q45" s="145"/>
      <c r="R45" s="145"/>
      <c r="S45" s="145"/>
      <c r="T45" s="145"/>
      <c r="U45" s="144"/>
      <c r="V45" s="144"/>
      <c r="W45" s="144"/>
      <c r="X45" s="144"/>
      <c r="Y45" s="144"/>
      <c r="Z45" s="144"/>
      <c r="AA45" s="144"/>
      <c r="AB45" s="144"/>
      <c r="AC45" s="144"/>
      <c r="AD45" s="144"/>
      <c r="AE45" s="144"/>
      <c r="AF45" s="144"/>
      <c r="AG45" s="144"/>
      <c r="AH45" s="144"/>
      <c r="AI45" s="144"/>
      <c r="AJ45" s="144"/>
      <c r="AK45" s="144"/>
    </row>
    <row r="46" spans="1:37" x14ac:dyDescent="0.2">
      <c r="S46" s="1"/>
      <c r="U46" s="144"/>
      <c r="V46" s="144"/>
      <c r="W46" s="144"/>
      <c r="X46" s="144"/>
      <c r="Y46" s="144"/>
      <c r="Z46" s="144"/>
      <c r="AA46" s="144"/>
      <c r="AB46" s="144"/>
      <c r="AC46" s="144"/>
      <c r="AD46" s="144"/>
      <c r="AE46" s="144"/>
      <c r="AF46" s="144"/>
      <c r="AG46" s="144"/>
      <c r="AH46" s="144"/>
      <c r="AI46" s="144"/>
      <c r="AJ46" s="144"/>
      <c r="AK46" s="144"/>
    </row>
    <row r="47" spans="1:37" x14ac:dyDescent="0.2">
      <c r="S47" s="1"/>
      <c r="U47" s="144"/>
      <c r="V47" s="144"/>
      <c r="W47" s="144"/>
      <c r="X47" s="144"/>
      <c r="Y47" s="144"/>
      <c r="Z47" s="144"/>
      <c r="AA47" s="144"/>
      <c r="AB47" s="144"/>
      <c r="AC47" s="144"/>
      <c r="AD47" s="144"/>
      <c r="AE47" s="144"/>
      <c r="AF47" s="144"/>
      <c r="AG47" s="144"/>
      <c r="AH47" s="144"/>
      <c r="AI47" s="144"/>
      <c r="AJ47" s="144"/>
      <c r="AK47" s="144"/>
    </row>
    <row r="48" spans="1:37" x14ac:dyDescent="0.2">
      <c r="U48" s="144"/>
      <c r="V48" s="144"/>
      <c r="W48" s="144"/>
      <c r="X48" s="144"/>
      <c r="Y48" s="144"/>
      <c r="Z48" s="144"/>
      <c r="AA48" s="144"/>
      <c r="AB48" s="144"/>
      <c r="AC48" s="144"/>
      <c r="AD48" s="144"/>
      <c r="AE48" s="144"/>
      <c r="AF48" s="144"/>
      <c r="AG48" s="144"/>
      <c r="AH48" s="144"/>
      <c r="AI48" s="144"/>
      <c r="AJ48" s="144"/>
      <c r="AK48" s="144"/>
    </row>
    <row r="49" spans="21:38" x14ac:dyDescent="0.2">
      <c r="U49" s="144"/>
      <c r="V49" s="144"/>
      <c r="W49" s="144"/>
      <c r="X49" s="144"/>
      <c r="Y49" s="144"/>
      <c r="Z49" s="144"/>
      <c r="AA49" s="144"/>
      <c r="AB49" s="144"/>
      <c r="AC49" s="144"/>
      <c r="AD49" s="144"/>
      <c r="AE49" s="144"/>
      <c r="AF49" s="144"/>
      <c r="AG49" s="144"/>
      <c r="AH49" s="144"/>
      <c r="AI49" s="144"/>
      <c r="AJ49" s="144"/>
      <c r="AK49" s="144"/>
    </row>
    <row r="50" spans="21:38" x14ac:dyDescent="0.2">
      <c r="U50" s="144"/>
      <c r="V50" s="144"/>
      <c r="W50" s="155"/>
      <c r="X50" s="144"/>
      <c r="Y50" s="144"/>
      <c r="Z50" s="144"/>
      <c r="AA50" s="144"/>
      <c r="AB50" s="144"/>
      <c r="AC50" s="144"/>
      <c r="AD50" s="144"/>
      <c r="AE50" s="144"/>
      <c r="AF50" s="144"/>
      <c r="AG50" s="144"/>
      <c r="AH50" s="144"/>
      <c r="AI50" s="144"/>
      <c r="AJ50" s="144"/>
      <c r="AK50" s="144"/>
    </row>
    <row r="51" spans="21:38" x14ac:dyDescent="0.2">
      <c r="U51" s="144"/>
      <c r="V51" s="144"/>
      <c r="W51" s="156"/>
      <c r="X51" s="144"/>
      <c r="Y51" s="144"/>
      <c r="Z51" s="144"/>
      <c r="AA51" s="144"/>
      <c r="AB51" s="144"/>
      <c r="AC51" s="144"/>
      <c r="AD51" s="144"/>
      <c r="AE51" s="144"/>
      <c r="AF51" s="144"/>
      <c r="AG51" s="144"/>
      <c r="AH51" s="144"/>
      <c r="AI51" s="144"/>
      <c r="AJ51" s="144"/>
      <c r="AK51" s="144"/>
    </row>
    <row r="52" spans="21:38" x14ac:dyDescent="0.2">
      <c r="U52" s="144"/>
      <c r="V52" s="144"/>
      <c r="W52" s="144"/>
      <c r="X52" s="144"/>
      <c r="Y52" s="144"/>
      <c r="Z52" s="144"/>
      <c r="AA52" s="144"/>
      <c r="AB52" s="144"/>
      <c r="AC52" s="144"/>
      <c r="AD52" s="144"/>
      <c r="AE52" s="144"/>
      <c r="AF52" s="144"/>
      <c r="AG52" s="144"/>
      <c r="AH52" s="144"/>
      <c r="AI52" s="144"/>
      <c r="AJ52" s="144"/>
      <c r="AK52" s="144"/>
    </row>
    <row r="53" spans="21:38" x14ac:dyDescent="0.2">
      <c r="U53" s="144"/>
      <c r="V53" s="144"/>
      <c r="W53" s="144"/>
      <c r="X53" s="144"/>
      <c r="Y53" s="144"/>
      <c r="Z53" s="144"/>
      <c r="AA53" s="144"/>
      <c r="AB53" s="144"/>
      <c r="AC53" s="144"/>
      <c r="AD53" s="144"/>
      <c r="AE53" s="144"/>
      <c r="AF53" s="144"/>
      <c r="AG53" s="144"/>
      <c r="AH53" s="144"/>
      <c r="AI53" s="144"/>
      <c r="AJ53" s="144"/>
      <c r="AK53" s="144"/>
      <c r="AL53" s="1"/>
    </row>
    <row r="54" spans="21:38" x14ac:dyDescent="0.2">
      <c r="U54" s="144"/>
      <c r="V54" s="144"/>
      <c r="W54" s="144"/>
      <c r="X54" s="144"/>
      <c r="Y54" s="144"/>
      <c r="Z54" s="144"/>
      <c r="AA54" s="144"/>
      <c r="AB54" s="144"/>
      <c r="AC54" s="144"/>
      <c r="AD54" s="144"/>
      <c r="AE54" s="144"/>
      <c r="AF54" s="144"/>
      <c r="AG54" s="144"/>
      <c r="AH54" s="144"/>
      <c r="AI54" s="144"/>
      <c r="AJ54" s="144"/>
      <c r="AK54" s="144"/>
    </row>
    <row r="55" spans="21:38" x14ac:dyDescent="0.2">
      <c r="U55" s="144"/>
      <c r="V55" s="144"/>
      <c r="W55" s="144"/>
      <c r="X55" s="144"/>
      <c r="Y55" s="144"/>
      <c r="Z55" s="144"/>
      <c r="AA55" s="144"/>
      <c r="AB55" s="144"/>
      <c r="AC55" s="144"/>
      <c r="AD55" s="144"/>
      <c r="AE55" s="144"/>
      <c r="AF55" s="144"/>
      <c r="AG55" s="144"/>
      <c r="AH55" s="144"/>
      <c r="AI55" s="144"/>
      <c r="AJ55" s="144"/>
      <c r="AK55" s="144"/>
    </row>
    <row r="56" spans="21:38" x14ac:dyDescent="0.2">
      <c r="U56" s="144"/>
      <c r="V56" s="144"/>
      <c r="W56" s="144"/>
      <c r="X56" s="144"/>
      <c r="Y56" s="144"/>
      <c r="Z56" s="144"/>
      <c r="AA56" s="144"/>
      <c r="AB56" s="144"/>
      <c r="AC56" s="144"/>
      <c r="AD56" s="144"/>
      <c r="AE56" s="144"/>
      <c r="AF56" s="144"/>
      <c r="AG56" s="144"/>
      <c r="AH56" s="144"/>
      <c r="AI56" s="144"/>
      <c r="AJ56" s="144"/>
      <c r="AK56" s="144"/>
    </row>
    <row r="57" spans="21:38" x14ac:dyDescent="0.2">
      <c r="U57" s="144"/>
      <c r="V57" s="144"/>
      <c r="W57" s="144"/>
      <c r="X57" s="144"/>
      <c r="Y57" s="144"/>
      <c r="Z57" s="144"/>
      <c r="AA57" s="144"/>
      <c r="AB57" s="144"/>
      <c r="AC57" s="144"/>
      <c r="AD57" s="144"/>
      <c r="AE57" s="144"/>
      <c r="AF57" s="144"/>
      <c r="AG57" s="144"/>
      <c r="AH57" s="144"/>
      <c r="AI57" s="144"/>
      <c r="AJ57" s="144"/>
      <c r="AK57" s="144"/>
    </row>
    <row r="58" spans="21:38" x14ac:dyDescent="0.2">
      <c r="U58" s="144"/>
      <c r="V58" s="144"/>
      <c r="W58" s="144"/>
      <c r="X58" s="144"/>
      <c r="Y58" s="144"/>
      <c r="Z58" s="144"/>
      <c r="AA58" s="144"/>
      <c r="AB58" s="144"/>
      <c r="AC58" s="144"/>
      <c r="AD58" s="144"/>
      <c r="AE58" s="144"/>
      <c r="AF58" s="144"/>
      <c r="AG58" s="144"/>
      <c r="AH58" s="144"/>
      <c r="AI58" s="144"/>
      <c r="AJ58" s="144"/>
      <c r="AK58" s="144"/>
    </row>
    <row r="59" spans="21:38" x14ac:dyDescent="0.2">
      <c r="U59" s="144"/>
      <c r="V59" s="144"/>
      <c r="W59" s="144"/>
      <c r="X59" s="144"/>
      <c r="Y59" s="144"/>
      <c r="Z59" s="144"/>
      <c r="AA59" s="144"/>
      <c r="AB59" s="144"/>
      <c r="AC59" s="144"/>
      <c r="AD59" s="144"/>
      <c r="AE59" s="144"/>
      <c r="AF59" s="144"/>
      <c r="AG59" s="144"/>
      <c r="AH59" s="144"/>
      <c r="AI59" s="144"/>
      <c r="AJ59" s="144"/>
      <c r="AK59" s="144"/>
    </row>
    <row r="60" spans="21:38" x14ac:dyDescent="0.2">
      <c r="U60" s="144"/>
      <c r="V60" s="144"/>
      <c r="W60" s="144"/>
      <c r="X60" s="144"/>
      <c r="Y60" s="144"/>
      <c r="Z60" s="144"/>
      <c r="AA60" s="144"/>
      <c r="AB60" s="144"/>
      <c r="AC60" s="144"/>
      <c r="AD60" s="144"/>
      <c r="AE60" s="144"/>
      <c r="AF60" s="144"/>
      <c r="AG60" s="144"/>
      <c r="AH60" s="144"/>
      <c r="AI60" s="144"/>
      <c r="AJ60" s="144"/>
      <c r="AK60" s="144"/>
    </row>
    <row r="61" spans="21:38" x14ac:dyDescent="0.2">
      <c r="U61" s="144"/>
      <c r="V61" s="144"/>
      <c r="W61" s="144"/>
      <c r="X61" s="144"/>
      <c r="Y61" s="144"/>
      <c r="Z61" s="144"/>
      <c r="AA61" s="144"/>
      <c r="AB61" s="144"/>
      <c r="AC61" s="144"/>
      <c r="AD61" s="144"/>
      <c r="AE61" s="144"/>
      <c r="AF61" s="144"/>
      <c r="AG61" s="144"/>
      <c r="AH61" s="144"/>
      <c r="AI61" s="144"/>
      <c r="AJ61" s="144"/>
      <c r="AK61" s="144"/>
    </row>
    <row r="62" spans="21:38" x14ac:dyDescent="0.2">
      <c r="U62" s="144"/>
      <c r="V62" s="144"/>
      <c r="W62" s="144"/>
      <c r="X62" s="144"/>
      <c r="Y62" s="144"/>
      <c r="Z62" s="144"/>
      <c r="AA62" s="144"/>
      <c r="AB62" s="144"/>
      <c r="AC62" s="144"/>
      <c r="AD62" s="144"/>
      <c r="AE62" s="144"/>
      <c r="AF62" s="144"/>
      <c r="AG62" s="144"/>
      <c r="AH62" s="144"/>
      <c r="AI62" s="144"/>
      <c r="AJ62" s="144"/>
      <c r="AK62" s="144"/>
    </row>
    <row r="63" spans="21:38" x14ac:dyDescent="0.2">
      <c r="U63" s="144"/>
      <c r="V63" s="144"/>
      <c r="W63" s="144"/>
      <c r="X63" s="144"/>
      <c r="Y63" s="144"/>
      <c r="Z63" s="144"/>
      <c r="AA63" s="144"/>
      <c r="AB63" s="144"/>
      <c r="AC63" s="144"/>
      <c r="AD63" s="144"/>
      <c r="AE63" s="144"/>
      <c r="AF63" s="144"/>
      <c r="AG63" s="144"/>
      <c r="AH63" s="144"/>
      <c r="AI63" s="144"/>
      <c r="AJ63" s="144"/>
      <c r="AK63" s="144"/>
    </row>
    <row r="64" spans="21:38" x14ac:dyDescent="0.2">
      <c r="U64" s="144"/>
      <c r="V64" s="144"/>
      <c r="W64" s="144"/>
      <c r="X64" s="144"/>
      <c r="Y64" s="144"/>
      <c r="Z64" s="144"/>
      <c r="AA64" s="144"/>
      <c r="AB64" s="144"/>
      <c r="AC64" s="144"/>
      <c r="AD64" s="144"/>
      <c r="AE64" s="144"/>
      <c r="AF64" s="144"/>
      <c r="AG64" s="144"/>
      <c r="AH64" s="144"/>
      <c r="AI64" s="144"/>
      <c r="AJ64" s="144"/>
      <c r="AK64" s="144"/>
    </row>
    <row r="65" spans="21:37" x14ac:dyDescent="0.2">
      <c r="U65" s="144"/>
      <c r="V65" s="144"/>
      <c r="W65" s="144"/>
      <c r="X65" s="144"/>
      <c r="Y65" s="144"/>
      <c r="Z65" s="144"/>
      <c r="AA65" s="144"/>
      <c r="AB65" s="144"/>
      <c r="AC65" s="144"/>
      <c r="AD65" s="144"/>
      <c r="AE65" s="144"/>
      <c r="AF65" s="144"/>
      <c r="AG65" s="144"/>
      <c r="AH65" s="144"/>
      <c r="AI65" s="144"/>
      <c r="AJ65" s="144"/>
      <c r="AK65" s="144"/>
    </row>
    <row r="66" spans="21:37" x14ac:dyDescent="0.2">
      <c r="U66" s="144"/>
      <c r="V66" s="144"/>
      <c r="W66" s="144"/>
      <c r="X66" s="144"/>
      <c r="Y66" s="144"/>
      <c r="Z66" s="144"/>
      <c r="AA66" s="144"/>
      <c r="AB66" s="144"/>
      <c r="AC66" s="144"/>
      <c r="AD66" s="144"/>
      <c r="AE66" s="144"/>
      <c r="AF66" s="144"/>
      <c r="AG66" s="144"/>
      <c r="AH66" s="144"/>
      <c r="AI66" s="144"/>
      <c r="AJ66" s="144"/>
      <c r="AK66" s="144"/>
    </row>
    <row r="67" spans="21:37" x14ac:dyDescent="0.2">
      <c r="U67" s="144"/>
      <c r="V67" s="144"/>
      <c r="W67" s="144"/>
      <c r="X67" s="144"/>
      <c r="Y67" s="144"/>
      <c r="Z67" s="144"/>
      <c r="AA67" s="144"/>
      <c r="AB67" s="144"/>
      <c r="AC67" s="144"/>
      <c r="AD67" s="144"/>
      <c r="AE67" s="144"/>
      <c r="AF67" s="144"/>
      <c r="AG67" s="144"/>
      <c r="AH67" s="144"/>
      <c r="AI67" s="144"/>
      <c r="AJ67" s="144"/>
      <c r="AK67" s="144"/>
    </row>
    <row r="68" spans="21:37" x14ac:dyDescent="0.2">
      <c r="U68" s="144"/>
      <c r="V68" s="144"/>
      <c r="W68" s="144"/>
      <c r="X68" s="144"/>
      <c r="Y68" s="144"/>
      <c r="Z68" s="144"/>
      <c r="AA68" s="144"/>
      <c r="AB68" s="144"/>
      <c r="AC68" s="144"/>
      <c r="AD68" s="144"/>
      <c r="AE68" s="144"/>
      <c r="AF68" s="144"/>
      <c r="AG68" s="144"/>
      <c r="AH68" s="144"/>
      <c r="AI68" s="144"/>
      <c r="AJ68" s="144"/>
      <c r="AK68" s="144"/>
    </row>
    <row r="69" spans="21:37" x14ac:dyDescent="0.2">
      <c r="U69" s="144"/>
      <c r="V69" s="144"/>
      <c r="W69" s="144"/>
      <c r="X69" s="144"/>
      <c r="Y69" s="144"/>
      <c r="Z69" s="144"/>
      <c r="AA69" s="144"/>
      <c r="AB69" s="144"/>
      <c r="AC69" s="144"/>
      <c r="AD69" s="144"/>
      <c r="AE69" s="144"/>
      <c r="AF69" s="144"/>
      <c r="AG69" s="144"/>
      <c r="AH69" s="144"/>
      <c r="AI69" s="144"/>
      <c r="AJ69" s="144"/>
      <c r="AK69" s="144"/>
    </row>
    <row r="70" spans="21:37" x14ac:dyDescent="0.2">
      <c r="U70" s="144"/>
      <c r="V70" s="144"/>
      <c r="W70" s="144"/>
      <c r="X70" s="144"/>
      <c r="Y70" s="144"/>
      <c r="Z70" s="144"/>
      <c r="AA70" s="144"/>
      <c r="AB70" s="144"/>
      <c r="AC70" s="144"/>
      <c r="AD70" s="144"/>
      <c r="AE70" s="144"/>
      <c r="AF70" s="144"/>
      <c r="AG70" s="144"/>
      <c r="AH70" s="144"/>
      <c r="AI70" s="144"/>
      <c r="AJ70" s="144"/>
      <c r="AK70" s="144"/>
    </row>
    <row r="71" spans="21:37" x14ac:dyDescent="0.2">
      <c r="U71" s="144"/>
      <c r="V71" s="144"/>
      <c r="W71" s="144"/>
      <c r="X71" s="144"/>
      <c r="Y71" s="144"/>
      <c r="Z71" s="144"/>
      <c r="AA71" s="144"/>
      <c r="AB71" s="144"/>
      <c r="AC71" s="144"/>
      <c r="AD71" s="144"/>
      <c r="AE71" s="144"/>
      <c r="AF71" s="144"/>
      <c r="AG71" s="144"/>
      <c r="AH71" s="144"/>
      <c r="AI71" s="144"/>
      <c r="AJ71" s="144"/>
      <c r="AK71" s="144"/>
    </row>
    <row r="72" spans="21:37" x14ac:dyDescent="0.2">
      <c r="U72" s="144"/>
      <c r="V72" s="144"/>
      <c r="W72" s="144"/>
      <c r="X72" s="144"/>
      <c r="Y72" s="144"/>
      <c r="Z72" s="144"/>
      <c r="AA72" s="144"/>
      <c r="AB72" s="144"/>
      <c r="AC72" s="144"/>
      <c r="AD72" s="144"/>
      <c r="AE72" s="144"/>
      <c r="AF72" s="144"/>
      <c r="AG72" s="144"/>
      <c r="AH72" s="144"/>
      <c r="AI72" s="144"/>
      <c r="AJ72" s="144"/>
      <c r="AK72" s="144"/>
    </row>
    <row r="73" spans="21:37" x14ac:dyDescent="0.2">
      <c r="U73" s="144"/>
      <c r="V73" s="144"/>
      <c r="W73" s="144"/>
      <c r="X73" s="144"/>
      <c r="Y73" s="144"/>
      <c r="Z73" s="144"/>
      <c r="AA73" s="144"/>
      <c r="AB73" s="144"/>
      <c r="AC73" s="144"/>
      <c r="AD73" s="144"/>
      <c r="AE73" s="144"/>
      <c r="AF73" s="144"/>
      <c r="AG73" s="144"/>
      <c r="AH73" s="144"/>
      <c r="AI73" s="144"/>
      <c r="AJ73" s="144"/>
      <c r="AK73" s="144"/>
    </row>
    <row r="74" spans="21:37" x14ac:dyDescent="0.2">
      <c r="U74" s="144"/>
      <c r="V74" s="144"/>
      <c r="W74" s="144"/>
      <c r="X74" s="144"/>
      <c r="Y74" s="144"/>
      <c r="Z74" s="144"/>
      <c r="AA74" s="144"/>
      <c r="AB74" s="144"/>
      <c r="AC74" s="144"/>
      <c r="AD74" s="144"/>
      <c r="AE74" s="144"/>
      <c r="AF74" s="144"/>
      <c r="AG74" s="144"/>
      <c r="AH74" s="144"/>
      <c r="AI74" s="144"/>
      <c r="AJ74" s="144"/>
      <c r="AK74" s="144"/>
    </row>
    <row r="75" spans="21:37" x14ac:dyDescent="0.2">
      <c r="U75" s="144"/>
      <c r="V75" s="144"/>
      <c r="W75" s="144"/>
      <c r="X75" s="144"/>
      <c r="Y75" s="144"/>
      <c r="Z75" s="144"/>
      <c r="AA75" s="144"/>
      <c r="AB75" s="144"/>
      <c r="AC75" s="144"/>
      <c r="AD75" s="144"/>
      <c r="AE75" s="144"/>
      <c r="AF75" s="144"/>
      <c r="AG75" s="144"/>
      <c r="AH75" s="144"/>
      <c r="AI75" s="144"/>
      <c r="AJ75" s="144"/>
      <c r="AK75" s="144"/>
    </row>
    <row r="76" spans="21:37" x14ac:dyDescent="0.2">
      <c r="U76" s="144"/>
      <c r="V76" s="144"/>
      <c r="W76" s="144"/>
      <c r="X76" s="144"/>
      <c r="Y76" s="144"/>
      <c r="Z76" s="144"/>
      <c r="AA76" s="144"/>
      <c r="AB76" s="144"/>
      <c r="AC76" s="144"/>
      <c r="AD76" s="144"/>
      <c r="AE76" s="144"/>
      <c r="AF76" s="144"/>
      <c r="AG76" s="144"/>
      <c r="AH76" s="144"/>
      <c r="AI76" s="144"/>
      <c r="AJ76" s="144"/>
      <c r="AK76" s="144"/>
    </row>
    <row r="77" spans="21:37" x14ac:dyDescent="0.2">
      <c r="U77" s="144"/>
      <c r="V77" s="144"/>
      <c r="W77" s="144"/>
      <c r="X77" s="144"/>
      <c r="Y77" s="144"/>
      <c r="Z77" s="144"/>
      <c r="AA77" s="144"/>
      <c r="AB77" s="144"/>
      <c r="AC77" s="144"/>
      <c r="AD77" s="144"/>
      <c r="AE77" s="144"/>
      <c r="AF77" s="144"/>
      <c r="AG77" s="144"/>
      <c r="AH77" s="144"/>
      <c r="AI77" s="144"/>
      <c r="AJ77" s="144"/>
      <c r="AK77" s="144"/>
    </row>
    <row r="78" spans="21:37" x14ac:dyDescent="0.2">
      <c r="U78" s="144"/>
      <c r="V78" s="144"/>
      <c r="W78" s="144"/>
      <c r="X78" s="144"/>
      <c r="Y78" s="144"/>
      <c r="Z78" s="144"/>
      <c r="AA78" s="144"/>
      <c r="AB78" s="144"/>
      <c r="AC78" s="144"/>
      <c r="AD78" s="144"/>
      <c r="AE78" s="144"/>
      <c r="AF78" s="144"/>
      <c r="AG78" s="144"/>
      <c r="AH78" s="144"/>
      <c r="AI78" s="144"/>
      <c r="AJ78" s="144"/>
      <c r="AK78" s="144"/>
    </row>
    <row r="79" spans="21:37" x14ac:dyDescent="0.2">
      <c r="U79" s="144"/>
      <c r="V79" s="144"/>
      <c r="W79" s="144"/>
      <c r="X79" s="144"/>
      <c r="Y79" s="144"/>
      <c r="Z79" s="144"/>
      <c r="AA79" s="144"/>
      <c r="AB79" s="144"/>
      <c r="AC79" s="144"/>
      <c r="AD79" s="144"/>
      <c r="AE79" s="144"/>
      <c r="AF79" s="144"/>
      <c r="AG79" s="144"/>
      <c r="AH79" s="144"/>
      <c r="AI79" s="144"/>
      <c r="AJ79" s="144"/>
      <c r="AK79" s="144"/>
    </row>
    <row r="80" spans="21:37" x14ac:dyDescent="0.2">
      <c r="U80" s="144"/>
      <c r="V80" s="144"/>
      <c r="W80" s="144"/>
      <c r="X80" s="144"/>
      <c r="Y80" s="144"/>
      <c r="Z80" s="144"/>
      <c r="AA80" s="144"/>
      <c r="AB80" s="144"/>
      <c r="AC80" s="144"/>
      <c r="AD80" s="144"/>
      <c r="AE80" s="144"/>
      <c r="AF80" s="144"/>
      <c r="AG80" s="144"/>
      <c r="AH80" s="144"/>
      <c r="AI80" s="144"/>
      <c r="AJ80" s="144"/>
      <c r="AK80" s="144"/>
    </row>
    <row r="81" spans="1:37" x14ac:dyDescent="0.2">
      <c r="U81" s="144"/>
      <c r="V81" s="144"/>
      <c r="W81" s="144"/>
      <c r="X81" s="144"/>
      <c r="Y81" s="144"/>
      <c r="Z81" s="144"/>
      <c r="AA81" s="144"/>
      <c r="AB81" s="144"/>
      <c r="AC81" s="144"/>
      <c r="AD81" s="144"/>
      <c r="AE81" s="144"/>
      <c r="AF81" s="144"/>
      <c r="AG81" s="144"/>
      <c r="AH81" s="144"/>
      <c r="AI81" s="144"/>
      <c r="AJ81" s="144"/>
      <c r="AK81" s="144"/>
    </row>
    <row r="82" spans="1:37" x14ac:dyDescent="0.2">
      <c r="U82" s="144"/>
      <c r="V82" s="144"/>
      <c r="W82" s="144"/>
      <c r="X82" s="144"/>
      <c r="Y82" s="144"/>
      <c r="Z82" s="144"/>
      <c r="AA82" s="144"/>
      <c r="AB82" s="144"/>
      <c r="AC82" s="144"/>
      <c r="AD82" s="144"/>
      <c r="AE82" s="144"/>
      <c r="AF82" s="144"/>
      <c r="AG82" s="144"/>
      <c r="AH82" s="144"/>
      <c r="AI82" s="144"/>
      <c r="AJ82" s="144"/>
      <c r="AK82" s="144"/>
    </row>
    <row r="83" spans="1:37" x14ac:dyDescent="0.2">
      <c r="U83" s="145"/>
      <c r="V83" s="145"/>
      <c r="W83" s="145"/>
      <c r="X83" s="145"/>
      <c r="Y83" s="145"/>
      <c r="Z83" s="145"/>
      <c r="AA83" s="145"/>
      <c r="AB83" s="145"/>
      <c r="AC83" s="145"/>
      <c r="AD83" s="145"/>
      <c r="AE83" s="145"/>
      <c r="AF83" s="145"/>
      <c r="AG83" s="145"/>
      <c r="AH83" s="145"/>
      <c r="AI83" s="145"/>
      <c r="AJ83" s="145"/>
      <c r="AK83" s="145"/>
    </row>
    <row r="84" spans="1:37" x14ac:dyDescent="0.2">
      <c r="A84" s="145"/>
      <c r="B84" s="145"/>
      <c r="C84" s="145"/>
      <c r="D84" s="145"/>
      <c r="E84" s="145"/>
      <c r="F84" s="145"/>
      <c r="G84" s="145"/>
      <c r="H84" s="145"/>
      <c r="I84" s="145"/>
      <c r="J84" s="145"/>
      <c r="K84" s="145"/>
      <c r="L84" s="145"/>
      <c r="M84" s="145"/>
      <c r="N84" s="145"/>
      <c r="O84" s="145"/>
      <c r="P84" s="145"/>
      <c r="Q84" s="145"/>
    </row>
  </sheetData>
  <sheetProtection password="B2EA" sheet="1" objects="1" scenarios="1" formatColumns="0" formatRows="0" selectLockedCells="1"/>
  <mergeCells count="63">
    <mergeCell ref="A17:C17"/>
    <mergeCell ref="A20:C20"/>
    <mergeCell ref="A7:C7"/>
    <mergeCell ref="A14:C16"/>
    <mergeCell ref="A10:C10"/>
    <mergeCell ref="A11:B11"/>
    <mergeCell ref="D30:F30"/>
    <mergeCell ref="G12:H12"/>
    <mergeCell ref="D18:F18"/>
    <mergeCell ref="D20:F20"/>
    <mergeCell ref="D11:E11"/>
    <mergeCell ref="D12:E12"/>
    <mergeCell ref="D17:F17"/>
    <mergeCell ref="D14:E14"/>
    <mergeCell ref="D15:E15"/>
    <mergeCell ref="D1:I1"/>
    <mergeCell ref="A1:C1"/>
    <mergeCell ref="A2:B2"/>
    <mergeCell ref="C2:I2"/>
    <mergeCell ref="A3:D3"/>
    <mergeCell ref="E3:I3"/>
    <mergeCell ref="A5:C5"/>
    <mergeCell ref="A12:B12"/>
    <mergeCell ref="A6:C6"/>
    <mergeCell ref="G11:H11"/>
    <mergeCell ref="A8:C8"/>
    <mergeCell ref="A21:C21"/>
    <mergeCell ref="G29:I29"/>
    <mergeCell ref="G15:H15"/>
    <mergeCell ref="G16:I16"/>
    <mergeCell ref="G14:H14"/>
    <mergeCell ref="G21:I21"/>
    <mergeCell ref="D23:F23"/>
    <mergeCell ref="G20:I20"/>
    <mergeCell ref="D21:F21"/>
    <mergeCell ref="D16:F16"/>
    <mergeCell ref="G17:I17"/>
    <mergeCell ref="G23:I23"/>
    <mergeCell ref="A19:B19"/>
    <mergeCell ref="A22:C22"/>
    <mergeCell ref="A23:C23"/>
    <mergeCell ref="D19:F19"/>
    <mergeCell ref="A24:C24"/>
    <mergeCell ref="G26:I26"/>
    <mergeCell ref="A25:C25"/>
    <mergeCell ref="D25:F25"/>
    <mergeCell ref="G25:I25"/>
    <mergeCell ref="A38:I38"/>
    <mergeCell ref="A18:C18"/>
    <mergeCell ref="A26:C26"/>
    <mergeCell ref="A37:E37"/>
    <mergeCell ref="F37:I37"/>
    <mergeCell ref="D31:F31"/>
    <mergeCell ref="G18:I18"/>
    <mergeCell ref="G27:I27"/>
    <mergeCell ref="D27:F27"/>
    <mergeCell ref="G19:I19"/>
    <mergeCell ref="A36:I36"/>
    <mergeCell ref="G28:I28"/>
    <mergeCell ref="A27:C27"/>
    <mergeCell ref="D26:F26"/>
    <mergeCell ref="D24:F24"/>
    <mergeCell ref="G24:I24"/>
  </mergeCells>
  <phoneticPr fontId="0" type="noConversion"/>
  <conditionalFormatting sqref="C12">
    <cfRule type="expression" dxfId="9" priority="8" stopIfTrue="1">
      <formula>C12&lt;5.15</formula>
    </cfRule>
    <cfRule type="expression" dxfId="8" priority="9" stopIfTrue="1">
      <formula>C12&gt;5.75</formula>
    </cfRule>
    <cfRule type="expression" dxfId="7" priority="10">
      <formula>C12&gt;5.55</formula>
    </cfRule>
    <cfRule type="expression" dxfId="6" priority="12">
      <formula>C12&lt;5.25</formula>
    </cfRule>
  </conditionalFormatting>
  <conditionalFormatting sqref="I12">
    <cfRule type="expression" dxfId="5" priority="6" stopIfTrue="1">
      <formula>H7&gt;100</formula>
    </cfRule>
    <cfRule type="expression" dxfId="4" priority="7" stopIfTrue="1">
      <formula>H7&lt;25</formula>
    </cfRule>
  </conditionalFormatting>
  <conditionalFormatting sqref="D18:F18">
    <cfRule type="expression" dxfId="3" priority="5" stopIfTrue="1">
      <formula>W20="yes"</formula>
    </cfRule>
  </conditionalFormatting>
  <conditionalFormatting sqref="D19:F19">
    <cfRule type="expression" dxfId="2" priority="3" stopIfTrue="1">
      <formula>W20="yes"</formula>
    </cfRule>
  </conditionalFormatting>
  <conditionalFormatting sqref="D20:F20">
    <cfRule type="expression" dxfId="1" priority="2" stopIfTrue="1">
      <formula>W20="yes"</formula>
    </cfRule>
  </conditionalFormatting>
  <conditionalFormatting sqref="D21:F21">
    <cfRule type="expression" dxfId="0" priority="1" stopIfTrue="1">
      <formula>W20="yes"</formula>
    </cfRule>
  </conditionalFormatting>
  <printOptions horizontalCentered="1" verticalCentered="1"/>
  <pageMargins left="0.3" right="0.3" top="0.25" bottom="0.25" header="0.3" footer="0.21"/>
  <pageSetup scale="87" orientation="portrait" horizontalDpi="200" verticalDpi="200" r:id="rId1"/>
  <headerFooter>
    <oddFooter>&amp;LBru'n Water 
v. 5.5&amp;R9/17/18</oddFooter>
  </headerFooter>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00B050"/>
  </sheetPr>
  <dimension ref="A1:FL102"/>
  <sheetViews>
    <sheetView workbookViewId="0">
      <pane xSplit="5" ySplit="2" topLeftCell="F3" activePane="bottomRight" state="frozen"/>
      <selection pane="topRight" activeCell="F1" sqref="F1"/>
      <selection pane="bottomLeft" activeCell="A3" sqref="A3"/>
      <selection pane="bottomRight" activeCell="A2" sqref="A2"/>
    </sheetView>
  </sheetViews>
  <sheetFormatPr defaultColWidth="8.7109375" defaultRowHeight="12.75" x14ac:dyDescent="0.2"/>
  <cols>
    <col min="1" max="1" width="48.28515625" style="373" customWidth="1"/>
    <col min="2" max="4" width="8.7109375" style="373"/>
    <col min="5" max="5" width="61.28515625" style="373" customWidth="1"/>
    <col min="6" max="6" width="4.5703125" style="373" customWidth="1"/>
    <col min="7" max="25" width="4.42578125" style="373" customWidth="1"/>
    <col min="26" max="26" width="4.28515625" style="373" customWidth="1"/>
    <col min="27" max="122" width="4.42578125" style="373" customWidth="1"/>
    <col min="123" max="123" width="8.42578125" style="373" customWidth="1"/>
    <col min="124" max="124" width="8" style="373" customWidth="1"/>
    <col min="125" max="125" width="8" style="373" hidden="1" customWidth="1"/>
    <col min="126" max="126" width="8" style="373" customWidth="1"/>
    <col min="127" max="127" width="8.42578125" style="373" customWidth="1"/>
    <col min="128" max="16384" width="8.7109375" style="373"/>
  </cols>
  <sheetData>
    <row r="1" spans="1:168" ht="81" x14ac:dyDescent="0.2">
      <c r="A1" s="367" t="s">
        <v>816</v>
      </c>
      <c r="B1" s="368"/>
      <c r="C1" s="369"/>
      <c r="D1" s="368"/>
      <c r="E1" s="370" t="s">
        <v>706</v>
      </c>
      <c r="F1" s="371" t="s">
        <v>707</v>
      </c>
      <c r="G1" s="371" t="s">
        <v>361</v>
      </c>
      <c r="H1" s="371" t="s">
        <v>362</v>
      </c>
      <c r="I1" s="371" t="s">
        <v>363</v>
      </c>
      <c r="J1" s="371" t="s">
        <v>708</v>
      </c>
      <c r="K1" s="371" t="s">
        <v>709</v>
      </c>
      <c r="L1" s="371" t="s">
        <v>364</v>
      </c>
      <c r="M1" s="371" t="s">
        <v>710</v>
      </c>
      <c r="N1" s="371" t="s">
        <v>365</v>
      </c>
      <c r="O1" s="371" t="s">
        <v>366</v>
      </c>
      <c r="P1" s="371" t="s">
        <v>711</v>
      </c>
      <c r="Q1" s="371" t="s">
        <v>712</v>
      </c>
      <c r="R1" s="371" t="s">
        <v>713</v>
      </c>
      <c r="S1" s="371" t="s">
        <v>714</v>
      </c>
      <c r="T1" s="371" t="s">
        <v>715</v>
      </c>
      <c r="U1" s="371" t="s">
        <v>716</v>
      </c>
      <c r="V1" s="371" t="s">
        <v>717</v>
      </c>
      <c r="W1" s="371" t="s">
        <v>718</v>
      </c>
      <c r="X1" s="371" t="s">
        <v>719</v>
      </c>
      <c r="Y1" s="371" t="s">
        <v>720</v>
      </c>
      <c r="Z1" s="371" t="s">
        <v>721</v>
      </c>
      <c r="AA1" s="371" t="s">
        <v>722</v>
      </c>
      <c r="AB1" s="371" t="s">
        <v>723</v>
      </c>
      <c r="AC1" s="371" t="s">
        <v>724</v>
      </c>
      <c r="AD1" s="371" t="s">
        <v>725</v>
      </c>
      <c r="AE1" s="371" t="s">
        <v>726</v>
      </c>
      <c r="AF1" s="371" t="s">
        <v>727</v>
      </c>
      <c r="AG1" s="371" t="s">
        <v>728</v>
      </c>
      <c r="AH1" s="371" t="s">
        <v>731</v>
      </c>
      <c r="AI1" s="371" t="s">
        <v>730</v>
      </c>
      <c r="AJ1" s="371" t="s">
        <v>729</v>
      </c>
      <c r="AK1" s="371" t="s">
        <v>732</v>
      </c>
      <c r="AL1" s="371" t="s">
        <v>733</v>
      </c>
      <c r="AM1" s="371" t="s">
        <v>734</v>
      </c>
      <c r="AN1" s="371" t="s">
        <v>735</v>
      </c>
      <c r="AO1" s="371" t="s">
        <v>736</v>
      </c>
      <c r="AP1" s="371" t="s">
        <v>737</v>
      </c>
      <c r="AQ1" s="371" t="s">
        <v>738</v>
      </c>
      <c r="AR1" s="371" t="s">
        <v>739</v>
      </c>
      <c r="AS1" s="371" t="s">
        <v>740</v>
      </c>
      <c r="AT1" s="371" t="s">
        <v>741</v>
      </c>
      <c r="AU1" s="371" t="s">
        <v>742</v>
      </c>
      <c r="AV1" s="371" t="s">
        <v>743</v>
      </c>
      <c r="AW1" s="371" t="s">
        <v>744</v>
      </c>
      <c r="AX1" s="371" t="s">
        <v>745</v>
      </c>
      <c r="AY1" s="371" t="s">
        <v>746</v>
      </c>
      <c r="AZ1" s="371" t="s">
        <v>747</v>
      </c>
      <c r="BA1" s="371" t="s">
        <v>748</v>
      </c>
      <c r="BB1" s="371" t="s">
        <v>749</v>
      </c>
      <c r="BC1" s="371" t="s">
        <v>750</v>
      </c>
      <c r="BD1" s="371" t="s">
        <v>751</v>
      </c>
      <c r="BE1" s="371" t="s">
        <v>752</v>
      </c>
      <c r="BF1" s="371" t="s">
        <v>753</v>
      </c>
      <c r="BG1" s="371" t="s">
        <v>754</v>
      </c>
      <c r="BH1" s="371" t="s">
        <v>755</v>
      </c>
      <c r="BI1" s="371" t="s">
        <v>756</v>
      </c>
      <c r="BJ1" s="371" t="s">
        <v>757</v>
      </c>
      <c r="BK1" s="371" t="s">
        <v>758</v>
      </c>
      <c r="BL1" s="371" t="s">
        <v>759</v>
      </c>
      <c r="BM1" s="371" t="s">
        <v>760</v>
      </c>
      <c r="BN1" s="371" t="s">
        <v>761</v>
      </c>
      <c r="BO1" s="371" t="s">
        <v>762</v>
      </c>
      <c r="BP1" s="371" t="s">
        <v>763</v>
      </c>
      <c r="BQ1" s="371" t="s">
        <v>764</v>
      </c>
      <c r="BR1" s="371" t="s">
        <v>765</v>
      </c>
      <c r="BS1" s="371" t="s">
        <v>766</v>
      </c>
      <c r="BT1" s="371" t="s">
        <v>767</v>
      </c>
      <c r="BU1" s="371" t="s">
        <v>768</v>
      </c>
      <c r="BV1" s="371" t="s">
        <v>769</v>
      </c>
      <c r="BW1" s="371" t="s">
        <v>770</v>
      </c>
      <c r="BX1" s="371" t="s">
        <v>771</v>
      </c>
      <c r="BY1" s="371" t="s">
        <v>772</v>
      </c>
      <c r="BZ1" s="371" t="s">
        <v>773</v>
      </c>
      <c r="CA1" s="371" t="s">
        <v>774</v>
      </c>
      <c r="CB1" s="371" t="s">
        <v>775</v>
      </c>
      <c r="CC1" s="371" t="s">
        <v>776</v>
      </c>
      <c r="CD1" s="371" t="s">
        <v>777</v>
      </c>
      <c r="CE1" s="371" t="s">
        <v>778</v>
      </c>
      <c r="CF1" s="371" t="s">
        <v>779</v>
      </c>
      <c r="CG1" s="371" t="s">
        <v>780</v>
      </c>
      <c r="CH1" s="371" t="s">
        <v>781</v>
      </c>
      <c r="CI1" s="371" t="s">
        <v>782</v>
      </c>
      <c r="CJ1" s="371" t="s">
        <v>783</v>
      </c>
      <c r="CK1" s="371" t="s">
        <v>784</v>
      </c>
      <c r="CL1" s="371" t="s">
        <v>785</v>
      </c>
      <c r="CM1" s="371" t="s">
        <v>786</v>
      </c>
      <c r="CN1" s="371" t="s">
        <v>787</v>
      </c>
      <c r="CO1" s="371" t="s">
        <v>788</v>
      </c>
      <c r="CP1" s="371" t="s">
        <v>789</v>
      </c>
      <c r="CQ1" s="371" t="s">
        <v>790</v>
      </c>
      <c r="CR1" s="371" t="s">
        <v>791</v>
      </c>
      <c r="CS1" s="371" t="s">
        <v>716</v>
      </c>
      <c r="CT1" s="371" t="s">
        <v>717</v>
      </c>
      <c r="CU1" s="371" t="s">
        <v>792</v>
      </c>
      <c r="CV1" s="371" t="s">
        <v>793</v>
      </c>
      <c r="CW1" s="371" t="s">
        <v>794</v>
      </c>
      <c r="CX1" s="371" t="s">
        <v>795</v>
      </c>
      <c r="CY1" s="371" t="s">
        <v>796</v>
      </c>
      <c r="CZ1" s="371" t="s">
        <v>797</v>
      </c>
      <c r="DA1" s="371" t="s">
        <v>798</v>
      </c>
      <c r="DB1" s="371" t="s">
        <v>799</v>
      </c>
      <c r="DC1" s="371" t="s">
        <v>800</v>
      </c>
      <c r="DD1" s="371" t="s">
        <v>801</v>
      </c>
      <c r="DE1" s="371" t="s">
        <v>802</v>
      </c>
      <c r="DF1" s="371" t="s">
        <v>719</v>
      </c>
      <c r="DG1" s="371" t="s">
        <v>803</v>
      </c>
      <c r="DH1" s="371" t="s">
        <v>721</v>
      </c>
      <c r="DI1" s="371" t="s">
        <v>804</v>
      </c>
      <c r="DJ1" s="371" t="s">
        <v>723</v>
      </c>
      <c r="DK1" s="371" t="s">
        <v>805</v>
      </c>
      <c r="DL1" s="371" t="s">
        <v>725</v>
      </c>
      <c r="DM1" s="371" t="s">
        <v>806</v>
      </c>
      <c r="DN1" s="371" t="s">
        <v>807</v>
      </c>
      <c r="DO1" s="371" t="s">
        <v>808</v>
      </c>
      <c r="DP1" s="371" t="s">
        <v>809</v>
      </c>
      <c r="DQ1" s="371" t="s">
        <v>810</v>
      </c>
      <c r="DR1" s="371" t="s">
        <v>811</v>
      </c>
      <c r="DS1" s="371" t="s">
        <v>839</v>
      </c>
      <c r="DT1" s="371" t="s">
        <v>961</v>
      </c>
      <c r="DU1" s="371"/>
      <c r="DV1" s="372"/>
      <c r="DW1" s="372"/>
      <c r="DX1" s="372"/>
      <c r="DY1" s="372"/>
      <c r="DZ1" s="372"/>
      <c r="EA1" s="372"/>
      <c r="EB1" s="372"/>
      <c r="EC1" s="372"/>
      <c r="ED1" s="372"/>
      <c r="EE1" s="372"/>
      <c r="EF1" s="372"/>
      <c r="EG1" s="372"/>
      <c r="EH1" s="372"/>
      <c r="EI1" s="372"/>
      <c r="EJ1" s="372"/>
      <c r="EK1" s="372"/>
      <c r="EL1" s="372"/>
      <c r="EM1" s="372"/>
      <c r="EN1" s="372"/>
      <c r="EO1" s="372"/>
      <c r="EP1" s="372"/>
      <c r="EQ1" s="372"/>
      <c r="ER1" s="372"/>
      <c r="ES1" s="372"/>
      <c r="ET1" s="372"/>
      <c r="EU1" s="372"/>
      <c r="EV1" s="372"/>
      <c r="EW1" s="372"/>
      <c r="EX1" s="372"/>
      <c r="EY1" s="372"/>
      <c r="EZ1" s="372"/>
      <c r="FA1" s="372"/>
      <c r="FB1" s="372"/>
      <c r="FC1" s="372"/>
      <c r="FD1" s="372"/>
      <c r="FE1" s="372"/>
      <c r="FF1" s="372"/>
      <c r="FG1" s="372"/>
      <c r="FH1" s="372"/>
      <c r="FI1" s="372"/>
      <c r="FJ1" s="372"/>
      <c r="FK1" s="372"/>
      <c r="FL1" s="372"/>
    </row>
    <row r="2" spans="1:168" x14ac:dyDescent="0.2">
      <c r="A2" s="419" t="s">
        <v>1006</v>
      </c>
      <c r="B2" s="97" t="s">
        <v>927</v>
      </c>
      <c r="D2" s="372"/>
      <c r="E2" s="374" t="s">
        <v>817</v>
      </c>
      <c r="F2" s="371"/>
      <c r="G2" s="371"/>
      <c r="H2" s="371"/>
      <c r="I2" s="371"/>
      <c r="J2" s="371"/>
      <c r="K2" s="371"/>
      <c r="L2" s="371"/>
      <c r="M2" s="371"/>
      <c r="N2" s="371"/>
      <c r="O2" s="371"/>
      <c r="P2" s="371"/>
      <c r="Q2" s="371"/>
      <c r="R2" s="371"/>
      <c r="S2" s="371"/>
      <c r="T2" s="371"/>
      <c r="U2" s="371"/>
      <c r="V2" s="371"/>
      <c r="W2" s="371"/>
      <c r="X2" s="371"/>
      <c r="Y2" s="371"/>
      <c r="Z2" s="371"/>
      <c r="AA2" s="371"/>
      <c r="AB2" s="371"/>
      <c r="AC2" s="371"/>
      <c r="AD2" s="371"/>
      <c r="AE2" s="371"/>
      <c r="AF2" s="371"/>
      <c r="AG2" s="371"/>
      <c r="AH2" s="371"/>
      <c r="AI2" s="371"/>
      <c r="AJ2" s="371"/>
      <c r="AK2" s="371"/>
      <c r="AL2" s="371"/>
      <c r="AM2" s="371"/>
      <c r="AN2" s="371"/>
      <c r="AO2" s="371"/>
      <c r="AP2" s="371"/>
      <c r="AQ2" s="371"/>
      <c r="AR2" s="371"/>
      <c r="AS2" s="371"/>
      <c r="AT2" s="371"/>
      <c r="AU2" s="371"/>
      <c r="AV2" s="371"/>
      <c r="AW2" s="371"/>
      <c r="AX2" s="371"/>
      <c r="AY2" s="371"/>
      <c r="AZ2" s="371"/>
      <c r="BA2" s="371"/>
      <c r="BB2" s="371"/>
      <c r="BC2" s="371"/>
      <c r="BD2" s="371"/>
      <c r="BE2" s="371"/>
      <c r="BF2" s="371"/>
      <c r="BG2" s="371"/>
      <c r="BH2" s="371"/>
      <c r="BI2" s="371"/>
      <c r="BJ2" s="371"/>
      <c r="BK2" s="371"/>
      <c r="BL2" s="371"/>
      <c r="BM2" s="371"/>
      <c r="BN2" s="371"/>
      <c r="BO2" s="371"/>
      <c r="BP2" s="371"/>
      <c r="BQ2" s="371"/>
      <c r="BR2" s="371"/>
      <c r="BS2" s="371"/>
      <c r="BT2" s="371"/>
      <c r="BU2" s="371"/>
      <c r="BV2" s="371"/>
      <c r="BW2" s="371"/>
      <c r="BX2" s="371"/>
      <c r="BY2" s="371"/>
      <c r="BZ2" s="371"/>
      <c r="CA2" s="371"/>
      <c r="CB2" s="371"/>
      <c r="CC2" s="371"/>
      <c r="CD2" s="371"/>
      <c r="CE2" s="371"/>
      <c r="CF2" s="371"/>
      <c r="CG2" s="371"/>
      <c r="CH2" s="371"/>
      <c r="CI2" s="371"/>
      <c r="CJ2" s="371"/>
      <c r="CK2" s="371"/>
      <c r="CL2" s="371"/>
      <c r="CM2" s="371"/>
      <c r="CN2" s="371"/>
      <c r="CO2" s="371"/>
      <c r="CP2" s="371"/>
      <c r="CQ2" s="371"/>
      <c r="CR2" s="371"/>
      <c r="CS2" s="371"/>
      <c r="CT2" s="371"/>
      <c r="CU2" s="371"/>
      <c r="CV2" s="371"/>
      <c r="CW2" s="371"/>
      <c r="CX2" s="371"/>
      <c r="CY2" s="371"/>
      <c r="CZ2" s="371"/>
      <c r="DA2" s="371"/>
      <c r="DB2" s="371"/>
      <c r="DC2" s="371"/>
      <c r="DD2" s="371"/>
      <c r="DE2" s="371"/>
      <c r="DF2" s="371"/>
      <c r="DG2" s="371"/>
      <c r="DH2" s="371"/>
      <c r="DI2" s="371"/>
      <c r="DJ2" s="371"/>
      <c r="DK2" s="371"/>
      <c r="DL2" s="371"/>
      <c r="DM2" s="371"/>
      <c r="DN2" s="371"/>
      <c r="DO2" s="371"/>
      <c r="DP2" s="371"/>
      <c r="DQ2" s="371"/>
      <c r="DR2" s="371"/>
      <c r="DS2" s="371"/>
      <c r="DU2" s="373">
        <f xml:space="preserve"> INDEX(DU3:DU102,MATCH($A2,$E3:$E102,0))</f>
        <v>5</v>
      </c>
      <c r="DV2" s="372"/>
      <c r="DW2" s="372"/>
      <c r="DX2" s="372"/>
      <c r="DY2" s="372"/>
      <c r="DZ2" s="372"/>
      <c r="EA2" s="372"/>
      <c r="EB2" s="372"/>
      <c r="EC2" s="372"/>
      <c r="ED2" s="372"/>
      <c r="EE2" s="372"/>
      <c r="EF2" s="372"/>
      <c r="EG2" s="372"/>
      <c r="EH2" s="372"/>
      <c r="EI2" s="372"/>
      <c r="EJ2" s="372"/>
      <c r="EK2" s="372"/>
      <c r="EL2" s="372"/>
      <c r="EM2" s="372"/>
      <c r="EN2" s="372"/>
      <c r="EO2" s="372"/>
      <c r="EP2" s="372"/>
      <c r="EQ2" s="372"/>
      <c r="ER2" s="372"/>
      <c r="ES2" s="372"/>
      <c r="ET2" s="372"/>
      <c r="EU2" s="372"/>
      <c r="EV2" s="372"/>
      <c r="EW2" s="372"/>
      <c r="EX2" s="372"/>
      <c r="EY2" s="372"/>
      <c r="EZ2" s="372"/>
      <c r="FA2" s="372"/>
      <c r="FB2" s="372"/>
      <c r="FC2" s="372"/>
      <c r="FD2" s="372"/>
      <c r="FE2" s="372"/>
      <c r="FF2" s="372"/>
      <c r="FG2" s="372"/>
      <c r="FH2" s="372"/>
      <c r="FI2" s="372"/>
      <c r="FJ2" s="372"/>
      <c r="FK2" s="372"/>
      <c r="FL2" s="372"/>
    </row>
    <row r="3" spans="1:168" x14ac:dyDescent="0.2">
      <c r="E3" s="397" t="s">
        <v>989</v>
      </c>
      <c r="F3" s="397" t="s">
        <v>392</v>
      </c>
      <c r="G3" s="398">
        <v>0</v>
      </c>
      <c r="H3" s="398">
        <v>0</v>
      </c>
      <c r="I3" s="398">
        <v>0</v>
      </c>
      <c r="J3" s="398">
        <v>0</v>
      </c>
      <c r="K3" s="398">
        <v>0</v>
      </c>
      <c r="L3" s="398">
        <v>0</v>
      </c>
      <c r="M3" s="398">
        <v>0</v>
      </c>
      <c r="N3" s="398">
        <v>0</v>
      </c>
      <c r="O3" s="398">
        <v>0</v>
      </c>
      <c r="P3" s="398">
        <v>0</v>
      </c>
      <c r="Q3" s="398">
        <v>0</v>
      </c>
      <c r="R3" s="398">
        <v>0</v>
      </c>
      <c r="S3" s="398">
        <v>8.3000000000000007</v>
      </c>
      <c r="T3" s="398">
        <v>6</v>
      </c>
      <c r="U3" s="397" t="s">
        <v>359</v>
      </c>
      <c r="V3" s="399">
        <v>0</v>
      </c>
      <c r="W3" s="399">
        <v>1</v>
      </c>
      <c r="X3" s="397" t="s">
        <v>94</v>
      </c>
      <c r="Y3" s="397" t="s">
        <v>200</v>
      </c>
      <c r="Z3" s="398">
        <v>88</v>
      </c>
      <c r="AA3" s="398">
        <v>0</v>
      </c>
      <c r="AB3" s="397" t="s">
        <v>95</v>
      </c>
      <c r="AC3" s="397" t="s">
        <v>200</v>
      </c>
      <c r="AD3" s="398">
        <v>10</v>
      </c>
      <c r="AE3" s="397" t="s">
        <v>485</v>
      </c>
      <c r="AF3" s="397" t="s">
        <v>967</v>
      </c>
      <c r="AG3" s="397" t="s">
        <v>224</v>
      </c>
      <c r="AH3" s="398">
        <v>1</v>
      </c>
      <c r="AI3" s="398">
        <v>0</v>
      </c>
      <c r="AJ3" s="398">
        <v>2</v>
      </c>
      <c r="AK3" s="397" t="s">
        <v>986</v>
      </c>
      <c r="AL3" s="397" t="s">
        <v>974</v>
      </c>
      <c r="AM3" s="398">
        <v>0</v>
      </c>
      <c r="AN3" s="398">
        <v>0</v>
      </c>
      <c r="AO3" s="398">
        <v>2</v>
      </c>
      <c r="AP3" s="397" t="s">
        <v>987</v>
      </c>
      <c r="AQ3" s="397" t="s">
        <v>225</v>
      </c>
      <c r="AR3" s="398">
        <v>0</v>
      </c>
      <c r="AS3" s="398">
        <v>0</v>
      </c>
      <c r="AT3" s="398">
        <v>10</v>
      </c>
      <c r="AU3" s="397" t="s">
        <v>973</v>
      </c>
      <c r="AV3" s="397" t="s">
        <v>973</v>
      </c>
      <c r="AW3" s="398">
        <v>0</v>
      </c>
      <c r="AX3" s="398">
        <v>0</v>
      </c>
      <c r="AY3" s="398">
        <v>400</v>
      </c>
      <c r="AZ3" s="397" t="s">
        <v>164</v>
      </c>
      <c r="BA3" s="397" t="s">
        <v>164</v>
      </c>
      <c r="BB3" s="398">
        <v>0</v>
      </c>
      <c r="BC3" s="398">
        <v>0</v>
      </c>
      <c r="BD3" s="398">
        <v>2</v>
      </c>
      <c r="BE3" s="397" t="s">
        <v>988</v>
      </c>
      <c r="BF3" s="397" t="s">
        <v>224</v>
      </c>
      <c r="BG3" s="398">
        <v>0</v>
      </c>
      <c r="BH3" s="398">
        <v>0</v>
      </c>
      <c r="BI3" s="398">
        <v>0</v>
      </c>
      <c r="BJ3" s="397"/>
      <c r="BK3" s="397" t="s">
        <v>224</v>
      </c>
      <c r="BL3" s="398">
        <v>0</v>
      </c>
      <c r="BM3" s="398">
        <v>0</v>
      </c>
      <c r="BN3" s="398">
        <v>0</v>
      </c>
      <c r="BO3" s="397"/>
      <c r="BP3" s="397" t="s">
        <v>224</v>
      </c>
      <c r="BQ3" s="398">
        <v>0</v>
      </c>
      <c r="BR3" s="398">
        <v>0</v>
      </c>
      <c r="BS3" s="398">
        <v>0</v>
      </c>
      <c r="BT3" s="397"/>
      <c r="BU3" s="397" t="s">
        <v>224</v>
      </c>
      <c r="BV3" s="398">
        <v>0</v>
      </c>
      <c r="BW3" s="398">
        <v>0</v>
      </c>
      <c r="BX3" s="398">
        <v>0</v>
      </c>
      <c r="BY3" s="397"/>
      <c r="BZ3" s="397" t="s">
        <v>224</v>
      </c>
      <c r="CA3" s="398">
        <v>0</v>
      </c>
      <c r="CB3" s="398">
        <v>0</v>
      </c>
      <c r="CC3" s="398">
        <v>0</v>
      </c>
      <c r="CD3" s="397" t="s">
        <v>469</v>
      </c>
      <c r="CE3" s="397" t="s">
        <v>224</v>
      </c>
      <c r="CF3" s="398">
        <v>0</v>
      </c>
      <c r="CG3" s="398">
        <v>0</v>
      </c>
      <c r="CH3" s="398">
        <v>0</v>
      </c>
      <c r="CI3" s="397" t="s">
        <v>468</v>
      </c>
      <c r="CJ3" s="397" t="s">
        <v>224</v>
      </c>
      <c r="CK3" s="398">
        <v>0</v>
      </c>
      <c r="CL3" s="398">
        <v>0</v>
      </c>
      <c r="CM3" s="398">
        <v>0</v>
      </c>
      <c r="CN3" s="397" t="s">
        <v>221</v>
      </c>
      <c r="CO3" s="397" t="s">
        <v>550</v>
      </c>
      <c r="CP3" s="397" t="s">
        <v>550</v>
      </c>
      <c r="CQ3" s="398">
        <v>1</v>
      </c>
      <c r="CR3" s="397" t="s">
        <v>697</v>
      </c>
      <c r="CS3" s="397" t="s">
        <v>155</v>
      </c>
      <c r="CT3" s="398">
        <v>0</v>
      </c>
      <c r="CU3" s="398">
        <v>3.5</v>
      </c>
      <c r="CV3" s="398">
        <v>4</v>
      </c>
      <c r="CW3" s="398">
        <v>5.5</v>
      </c>
      <c r="CX3" s="398">
        <v>0</v>
      </c>
      <c r="CY3" s="398">
        <v>0</v>
      </c>
      <c r="CZ3" s="398">
        <v>0</v>
      </c>
      <c r="DA3" s="398">
        <v>0</v>
      </c>
      <c r="DB3" s="398">
        <v>0</v>
      </c>
      <c r="DC3" s="398">
        <v>0</v>
      </c>
      <c r="DD3" s="398">
        <v>0</v>
      </c>
      <c r="DE3" s="398">
        <v>0</v>
      </c>
      <c r="DF3" s="397" t="s">
        <v>94</v>
      </c>
      <c r="DG3" s="397" t="s">
        <v>200</v>
      </c>
      <c r="DH3" s="398">
        <v>88</v>
      </c>
      <c r="DI3" s="398">
        <v>0</v>
      </c>
      <c r="DJ3" s="397" t="s">
        <v>95</v>
      </c>
      <c r="DK3" s="397" t="s">
        <v>200</v>
      </c>
      <c r="DL3" s="398">
        <v>10</v>
      </c>
      <c r="DM3" s="398">
        <v>0</v>
      </c>
      <c r="DN3" s="397" t="s">
        <v>552</v>
      </c>
      <c r="DO3" s="398">
        <v>10</v>
      </c>
      <c r="DP3" s="397" t="s">
        <v>549</v>
      </c>
      <c r="DQ3" s="397" t="s">
        <v>550</v>
      </c>
      <c r="DR3" s="397" t="s">
        <v>550</v>
      </c>
      <c r="DS3" s="400" t="s">
        <v>926</v>
      </c>
      <c r="DT3" s="379">
        <v>0</v>
      </c>
      <c r="DU3" s="373">
        <v>3</v>
      </c>
    </row>
    <row r="4" spans="1:168" x14ac:dyDescent="0.2">
      <c r="A4" s="380" t="s">
        <v>868</v>
      </c>
      <c r="E4" s="397" t="s">
        <v>999</v>
      </c>
      <c r="F4" s="397" t="s">
        <v>392</v>
      </c>
      <c r="G4" s="398">
        <v>0</v>
      </c>
      <c r="H4" s="398">
        <v>0</v>
      </c>
      <c r="I4" s="398">
        <v>0</v>
      </c>
      <c r="J4" s="398">
        <v>0</v>
      </c>
      <c r="K4" s="398">
        <v>0</v>
      </c>
      <c r="L4" s="398">
        <v>0</v>
      </c>
      <c r="M4" s="398">
        <v>0</v>
      </c>
      <c r="N4" s="398">
        <v>0</v>
      </c>
      <c r="O4" s="398">
        <v>0</v>
      </c>
      <c r="P4" s="398">
        <v>0</v>
      </c>
      <c r="Q4" s="398">
        <v>0</v>
      </c>
      <c r="R4" s="398">
        <v>0</v>
      </c>
      <c r="S4" s="398">
        <v>6.5</v>
      </c>
      <c r="T4" s="398">
        <v>6</v>
      </c>
      <c r="U4" s="397" t="s">
        <v>196</v>
      </c>
      <c r="V4" s="399">
        <v>100</v>
      </c>
      <c r="W4" s="399">
        <v>1</v>
      </c>
      <c r="X4" s="397" t="s">
        <v>95</v>
      </c>
      <c r="Y4" s="397" t="s">
        <v>200</v>
      </c>
      <c r="Z4" s="398">
        <v>10</v>
      </c>
      <c r="AA4" s="398">
        <v>0</v>
      </c>
      <c r="AB4" s="397" t="s">
        <v>95</v>
      </c>
      <c r="AC4" s="397" t="s">
        <v>200</v>
      </c>
      <c r="AD4" s="398">
        <v>10</v>
      </c>
      <c r="AE4" s="397" t="s">
        <v>485</v>
      </c>
      <c r="AF4" s="397" t="s">
        <v>998</v>
      </c>
      <c r="AG4" s="397" t="s">
        <v>224</v>
      </c>
      <c r="AH4" s="398">
        <v>16.8</v>
      </c>
      <c r="AI4" s="398">
        <v>0</v>
      </c>
      <c r="AJ4" s="398">
        <v>1.2</v>
      </c>
      <c r="AK4" s="397" t="s">
        <v>1000</v>
      </c>
      <c r="AL4" s="397" t="s">
        <v>974</v>
      </c>
      <c r="AM4" s="398">
        <v>3</v>
      </c>
      <c r="AN4" s="398">
        <v>0</v>
      </c>
      <c r="AO4" s="398">
        <v>1.6</v>
      </c>
      <c r="AP4" s="397" t="s">
        <v>986</v>
      </c>
      <c r="AQ4" s="397" t="s">
        <v>974</v>
      </c>
      <c r="AR4" s="398">
        <v>3</v>
      </c>
      <c r="AS4" s="398">
        <v>0</v>
      </c>
      <c r="AT4" s="398">
        <v>2.2999999999999998</v>
      </c>
      <c r="AU4" s="397" t="s">
        <v>1001</v>
      </c>
      <c r="AV4" s="397" t="s">
        <v>225</v>
      </c>
      <c r="AW4" s="398">
        <v>1</v>
      </c>
      <c r="AX4" s="398">
        <v>0</v>
      </c>
      <c r="AY4" s="398">
        <v>1.5</v>
      </c>
      <c r="AZ4" s="397"/>
      <c r="BA4" s="397" t="s">
        <v>224</v>
      </c>
      <c r="BB4" s="398">
        <v>0</v>
      </c>
      <c r="BC4" s="398">
        <v>0</v>
      </c>
      <c r="BD4" s="398">
        <v>0</v>
      </c>
      <c r="BE4" s="397"/>
      <c r="BF4" s="397" t="s">
        <v>224</v>
      </c>
      <c r="BG4" s="398">
        <v>0</v>
      </c>
      <c r="BH4" s="398">
        <v>0</v>
      </c>
      <c r="BI4" s="398">
        <v>0</v>
      </c>
      <c r="BJ4" s="397"/>
      <c r="BK4" s="397" t="s">
        <v>224</v>
      </c>
      <c r="BL4" s="398">
        <v>0</v>
      </c>
      <c r="BM4" s="398">
        <v>0</v>
      </c>
      <c r="BN4" s="398">
        <v>0</v>
      </c>
      <c r="BO4" s="397"/>
      <c r="BP4" s="397" t="s">
        <v>224</v>
      </c>
      <c r="BQ4" s="398">
        <v>0</v>
      </c>
      <c r="BR4" s="398">
        <v>0</v>
      </c>
      <c r="BS4" s="398">
        <v>0</v>
      </c>
      <c r="BT4" s="397"/>
      <c r="BU4" s="397" t="s">
        <v>224</v>
      </c>
      <c r="BV4" s="398">
        <v>0</v>
      </c>
      <c r="BW4" s="398">
        <v>0</v>
      </c>
      <c r="BX4" s="398">
        <v>0</v>
      </c>
      <c r="BY4" s="397"/>
      <c r="BZ4" s="397" t="s">
        <v>224</v>
      </c>
      <c r="CA4" s="398">
        <v>0</v>
      </c>
      <c r="CB4" s="398">
        <v>0</v>
      </c>
      <c r="CC4" s="398">
        <v>0</v>
      </c>
      <c r="CD4" s="397" t="s">
        <v>469</v>
      </c>
      <c r="CE4" s="397" t="s">
        <v>224</v>
      </c>
      <c r="CF4" s="398">
        <v>0</v>
      </c>
      <c r="CG4" s="398">
        <v>0</v>
      </c>
      <c r="CH4" s="398">
        <v>0</v>
      </c>
      <c r="CI4" s="397" t="s">
        <v>468</v>
      </c>
      <c r="CJ4" s="397" t="s">
        <v>224</v>
      </c>
      <c r="CK4" s="398">
        <v>0</v>
      </c>
      <c r="CL4" s="398">
        <v>0</v>
      </c>
      <c r="CM4" s="398">
        <v>0</v>
      </c>
      <c r="CN4" s="397" t="s">
        <v>221</v>
      </c>
      <c r="CO4" s="397" t="s">
        <v>550</v>
      </c>
      <c r="CP4" s="397" t="s">
        <v>550</v>
      </c>
      <c r="CQ4" s="398">
        <v>1</v>
      </c>
      <c r="CR4" s="397" t="s">
        <v>981</v>
      </c>
      <c r="CS4" s="397" t="s">
        <v>155</v>
      </c>
      <c r="CT4" s="398">
        <v>100</v>
      </c>
      <c r="CU4" s="398">
        <v>11.5</v>
      </c>
      <c r="CV4" s="398">
        <v>4</v>
      </c>
      <c r="CW4" s="398">
        <v>11.15</v>
      </c>
      <c r="CX4" s="398">
        <v>0.4</v>
      </c>
      <c r="CY4" s="398">
        <v>0.85</v>
      </c>
      <c r="CZ4" s="398">
        <v>0</v>
      </c>
      <c r="DA4" s="398">
        <v>0</v>
      </c>
      <c r="DB4" s="398">
        <v>0</v>
      </c>
      <c r="DC4" s="398">
        <v>0</v>
      </c>
      <c r="DD4" s="398">
        <v>0</v>
      </c>
      <c r="DE4" s="398">
        <v>0</v>
      </c>
      <c r="DF4" s="397" t="s">
        <v>95</v>
      </c>
      <c r="DG4" s="397" t="s">
        <v>200</v>
      </c>
      <c r="DH4" s="398">
        <v>10</v>
      </c>
      <c r="DI4" s="398">
        <v>3</v>
      </c>
      <c r="DJ4" s="397" t="s">
        <v>95</v>
      </c>
      <c r="DK4" s="397" t="s">
        <v>200</v>
      </c>
      <c r="DL4" s="398">
        <v>10</v>
      </c>
      <c r="DM4" s="398">
        <v>0</v>
      </c>
      <c r="DN4" s="397" t="s">
        <v>552</v>
      </c>
      <c r="DO4" s="398">
        <v>10</v>
      </c>
      <c r="DP4" s="397" t="s">
        <v>550</v>
      </c>
      <c r="DQ4" s="397" t="s">
        <v>550</v>
      </c>
      <c r="DR4" s="397" t="s">
        <v>550</v>
      </c>
      <c r="DS4" s="400" t="s">
        <v>926</v>
      </c>
      <c r="DT4" s="379">
        <v>0</v>
      </c>
      <c r="DU4" s="373">
        <v>4</v>
      </c>
    </row>
    <row r="5" spans="1:168" x14ac:dyDescent="0.2">
      <c r="A5" s="370" t="s">
        <v>869</v>
      </c>
      <c r="E5" s="397" t="s">
        <v>1006</v>
      </c>
      <c r="F5" s="376" t="s">
        <v>392</v>
      </c>
      <c r="G5" s="377">
        <v>0</v>
      </c>
      <c r="H5" s="377">
        <v>0</v>
      </c>
      <c r="I5" s="377">
        <v>0</v>
      </c>
      <c r="J5" s="377">
        <v>0</v>
      </c>
      <c r="K5" s="377">
        <v>0</v>
      </c>
      <c r="L5" s="377">
        <v>0</v>
      </c>
      <c r="M5" s="377">
        <v>0</v>
      </c>
      <c r="N5" s="377">
        <v>0</v>
      </c>
      <c r="O5" s="377">
        <v>0</v>
      </c>
      <c r="P5" s="377">
        <v>0</v>
      </c>
      <c r="Q5" s="377">
        <v>0</v>
      </c>
      <c r="R5" s="377">
        <v>0</v>
      </c>
      <c r="S5" s="377">
        <v>6.5</v>
      </c>
      <c r="T5" s="377">
        <v>6</v>
      </c>
      <c r="U5" s="376" t="s">
        <v>196</v>
      </c>
      <c r="V5" s="378">
        <v>100</v>
      </c>
      <c r="W5" s="378">
        <v>1</v>
      </c>
      <c r="X5" s="376" t="s">
        <v>95</v>
      </c>
      <c r="Y5" s="376" t="s">
        <v>200</v>
      </c>
      <c r="Z5" s="377">
        <v>10</v>
      </c>
      <c r="AA5" s="377">
        <v>0</v>
      </c>
      <c r="AB5" s="376" t="s">
        <v>95</v>
      </c>
      <c r="AC5" s="376" t="s">
        <v>200</v>
      </c>
      <c r="AD5" s="377">
        <v>10</v>
      </c>
      <c r="AE5" s="376" t="s">
        <v>485</v>
      </c>
      <c r="AF5" s="376" t="s">
        <v>1002</v>
      </c>
      <c r="AG5" s="376" t="s">
        <v>224</v>
      </c>
      <c r="AH5" s="377">
        <v>11</v>
      </c>
      <c r="AI5" s="377">
        <v>0</v>
      </c>
      <c r="AJ5" s="377">
        <v>3.5</v>
      </c>
      <c r="AK5" s="376" t="s">
        <v>1003</v>
      </c>
      <c r="AL5" s="376" t="s">
        <v>224</v>
      </c>
      <c r="AM5" s="377">
        <v>9</v>
      </c>
      <c r="AN5" s="377">
        <v>0</v>
      </c>
      <c r="AO5" s="377">
        <v>2.5</v>
      </c>
      <c r="AP5" s="376" t="s">
        <v>1004</v>
      </c>
      <c r="AQ5" s="376" t="s">
        <v>225</v>
      </c>
      <c r="AR5" s="377">
        <v>2.5</v>
      </c>
      <c r="AS5" s="377">
        <v>0</v>
      </c>
      <c r="AT5" s="377">
        <v>2</v>
      </c>
      <c r="AU5" s="376" t="s">
        <v>1005</v>
      </c>
      <c r="AV5" s="376" t="s">
        <v>225</v>
      </c>
      <c r="AW5" s="377">
        <v>2</v>
      </c>
      <c r="AX5" s="377">
        <v>0</v>
      </c>
      <c r="AY5" s="377">
        <v>15.3</v>
      </c>
      <c r="AZ5" s="376"/>
      <c r="BA5" s="376" t="s">
        <v>224</v>
      </c>
      <c r="BB5" s="377">
        <v>0</v>
      </c>
      <c r="BC5" s="377">
        <v>0</v>
      </c>
      <c r="BD5" s="377">
        <v>0</v>
      </c>
      <c r="BE5" s="376"/>
      <c r="BF5" s="376" t="s">
        <v>224</v>
      </c>
      <c r="BG5" s="377">
        <v>0</v>
      </c>
      <c r="BH5" s="377">
        <v>0</v>
      </c>
      <c r="BI5" s="377">
        <v>0</v>
      </c>
      <c r="BJ5" s="376"/>
      <c r="BK5" s="376" t="s">
        <v>224</v>
      </c>
      <c r="BL5" s="377">
        <v>0</v>
      </c>
      <c r="BM5" s="377">
        <v>0</v>
      </c>
      <c r="BN5" s="377">
        <v>0</v>
      </c>
      <c r="BO5" s="376"/>
      <c r="BP5" s="376" t="s">
        <v>224</v>
      </c>
      <c r="BQ5" s="377">
        <v>0</v>
      </c>
      <c r="BR5" s="377">
        <v>0</v>
      </c>
      <c r="BS5" s="377">
        <v>0</v>
      </c>
      <c r="BT5" s="376"/>
      <c r="BU5" s="376" t="s">
        <v>224</v>
      </c>
      <c r="BV5" s="377">
        <v>0</v>
      </c>
      <c r="BW5" s="377">
        <v>0</v>
      </c>
      <c r="BX5" s="377">
        <v>0</v>
      </c>
      <c r="BY5" s="376"/>
      <c r="BZ5" s="376" t="s">
        <v>224</v>
      </c>
      <c r="CA5" s="377">
        <v>0</v>
      </c>
      <c r="CB5" s="377">
        <v>0</v>
      </c>
      <c r="CC5" s="377">
        <v>0</v>
      </c>
      <c r="CD5" s="376" t="s">
        <v>469</v>
      </c>
      <c r="CE5" s="376" t="s">
        <v>224</v>
      </c>
      <c r="CF5" s="377">
        <v>0</v>
      </c>
      <c r="CG5" s="377">
        <v>0</v>
      </c>
      <c r="CH5" s="377">
        <v>0</v>
      </c>
      <c r="CI5" s="376" t="s">
        <v>468</v>
      </c>
      <c r="CJ5" s="376" t="s">
        <v>224</v>
      </c>
      <c r="CK5" s="377">
        <v>0</v>
      </c>
      <c r="CL5" s="377">
        <v>0</v>
      </c>
      <c r="CM5" s="377">
        <v>0</v>
      </c>
      <c r="CN5" s="376" t="s">
        <v>221</v>
      </c>
      <c r="CO5" s="376" t="s">
        <v>550</v>
      </c>
      <c r="CP5" s="376" t="s">
        <v>550</v>
      </c>
      <c r="CQ5" s="377">
        <v>1</v>
      </c>
      <c r="CR5" s="376" t="s">
        <v>1006</v>
      </c>
      <c r="CS5" s="376" t="s">
        <v>155</v>
      </c>
      <c r="CT5" s="377">
        <v>100</v>
      </c>
      <c r="CU5" s="377">
        <v>12.22</v>
      </c>
      <c r="CV5" s="377">
        <v>3.25</v>
      </c>
      <c r="CW5" s="377">
        <v>15.47</v>
      </c>
      <c r="CX5" s="377">
        <v>0.21</v>
      </c>
      <c r="CY5" s="377">
        <v>0</v>
      </c>
      <c r="CZ5" s="377">
        <v>1</v>
      </c>
      <c r="DA5" s="377">
        <v>0</v>
      </c>
      <c r="DB5" s="377">
        <v>0.71</v>
      </c>
      <c r="DC5" s="377">
        <v>0</v>
      </c>
      <c r="DD5" s="377">
        <v>0</v>
      </c>
      <c r="DE5" s="377">
        <v>0</v>
      </c>
      <c r="DF5" s="376" t="s">
        <v>95</v>
      </c>
      <c r="DG5" s="376" t="s">
        <v>200</v>
      </c>
      <c r="DH5" s="377">
        <v>10</v>
      </c>
      <c r="DI5" s="377">
        <v>5.2</v>
      </c>
      <c r="DJ5" s="376" t="s">
        <v>95</v>
      </c>
      <c r="DK5" s="376" t="s">
        <v>200</v>
      </c>
      <c r="DL5" s="377">
        <v>10</v>
      </c>
      <c r="DM5" s="377">
        <v>0</v>
      </c>
      <c r="DN5" s="376" t="s">
        <v>552</v>
      </c>
      <c r="DO5" s="377">
        <v>10</v>
      </c>
      <c r="DP5" s="376" t="s">
        <v>550</v>
      </c>
      <c r="DQ5" s="376" t="s">
        <v>550</v>
      </c>
      <c r="DR5" s="376" t="s">
        <v>550</v>
      </c>
      <c r="DS5" s="381" t="s">
        <v>926</v>
      </c>
      <c r="DT5" s="381">
        <v>0</v>
      </c>
      <c r="DU5" s="373">
        <v>5</v>
      </c>
    </row>
    <row r="6" spans="1:168" x14ac:dyDescent="0.2">
      <c r="A6" s="374" t="s">
        <v>870</v>
      </c>
      <c r="E6" s="375" t="s">
        <v>1007</v>
      </c>
      <c r="F6" s="376" t="s">
        <v>392</v>
      </c>
      <c r="G6" s="377">
        <v>0</v>
      </c>
      <c r="H6" s="377">
        <v>0</v>
      </c>
      <c r="I6" s="377">
        <v>0</v>
      </c>
      <c r="J6" s="377">
        <v>0</v>
      </c>
      <c r="K6" s="377">
        <v>0</v>
      </c>
      <c r="L6" s="377">
        <v>0</v>
      </c>
      <c r="M6" s="377">
        <v>0</v>
      </c>
      <c r="N6" s="377">
        <v>0</v>
      </c>
      <c r="O6" s="377">
        <v>0</v>
      </c>
      <c r="P6" s="377">
        <v>0</v>
      </c>
      <c r="Q6" s="377">
        <v>0</v>
      </c>
      <c r="R6" s="377">
        <v>0</v>
      </c>
      <c r="S6" s="377">
        <v>6.5</v>
      </c>
      <c r="T6" s="377">
        <v>6</v>
      </c>
      <c r="U6" s="376" t="s">
        <v>196</v>
      </c>
      <c r="V6" s="378">
        <v>100</v>
      </c>
      <c r="W6" s="378">
        <v>1</v>
      </c>
      <c r="X6" s="376" t="s">
        <v>95</v>
      </c>
      <c r="Y6" s="376" t="s">
        <v>200</v>
      </c>
      <c r="Z6" s="377">
        <v>10</v>
      </c>
      <c r="AA6" s="377">
        <v>0</v>
      </c>
      <c r="AB6" s="376" t="s">
        <v>95</v>
      </c>
      <c r="AC6" s="376" t="s">
        <v>200</v>
      </c>
      <c r="AD6" s="377">
        <v>10</v>
      </c>
      <c r="AE6" s="376" t="s">
        <v>485</v>
      </c>
      <c r="AF6" s="376" t="s">
        <v>1002</v>
      </c>
      <c r="AG6" s="376" t="s">
        <v>224</v>
      </c>
      <c r="AH6" s="377">
        <v>23</v>
      </c>
      <c r="AI6" s="377">
        <v>0</v>
      </c>
      <c r="AJ6" s="377">
        <v>3</v>
      </c>
      <c r="AK6" s="376" t="s">
        <v>1008</v>
      </c>
      <c r="AL6" s="376" t="s">
        <v>225</v>
      </c>
      <c r="AM6" s="377">
        <v>1</v>
      </c>
      <c r="AN6" s="377">
        <v>0</v>
      </c>
      <c r="AO6" s="377">
        <v>80</v>
      </c>
      <c r="AP6" s="376" t="s">
        <v>1009</v>
      </c>
      <c r="AQ6" s="376" t="s">
        <v>973</v>
      </c>
      <c r="AR6" s="377">
        <v>0.75</v>
      </c>
      <c r="AS6" s="377">
        <v>0</v>
      </c>
      <c r="AT6" s="377">
        <v>450</v>
      </c>
      <c r="AU6" s="376" t="s">
        <v>1010</v>
      </c>
      <c r="AV6" s="376" t="s">
        <v>973</v>
      </c>
      <c r="AW6" s="377">
        <v>0.75</v>
      </c>
      <c r="AX6" s="377">
        <v>0</v>
      </c>
      <c r="AY6" s="377">
        <v>520</v>
      </c>
      <c r="AZ6" s="376"/>
      <c r="BA6" s="376" t="s">
        <v>224</v>
      </c>
      <c r="BB6" s="377">
        <v>0</v>
      </c>
      <c r="BC6" s="377">
        <v>0</v>
      </c>
      <c r="BD6" s="377">
        <v>0</v>
      </c>
      <c r="BE6" s="376"/>
      <c r="BF6" s="376" t="s">
        <v>224</v>
      </c>
      <c r="BG6" s="377">
        <v>0</v>
      </c>
      <c r="BH6" s="377">
        <v>0</v>
      </c>
      <c r="BI6" s="377">
        <v>0</v>
      </c>
      <c r="BJ6" s="376"/>
      <c r="BK6" s="376" t="s">
        <v>224</v>
      </c>
      <c r="BL6" s="377">
        <v>0</v>
      </c>
      <c r="BM6" s="377">
        <v>0</v>
      </c>
      <c r="BN6" s="377">
        <v>0</v>
      </c>
      <c r="BO6" s="376"/>
      <c r="BP6" s="376" t="s">
        <v>224</v>
      </c>
      <c r="BQ6" s="377">
        <v>0</v>
      </c>
      <c r="BR6" s="377">
        <v>0</v>
      </c>
      <c r="BS6" s="377">
        <v>0</v>
      </c>
      <c r="BT6" s="376"/>
      <c r="BU6" s="376" t="s">
        <v>224</v>
      </c>
      <c r="BV6" s="377">
        <v>0</v>
      </c>
      <c r="BW6" s="377">
        <v>0</v>
      </c>
      <c r="BX6" s="377">
        <v>0</v>
      </c>
      <c r="BY6" s="376"/>
      <c r="BZ6" s="376" t="s">
        <v>224</v>
      </c>
      <c r="CA6" s="377">
        <v>0</v>
      </c>
      <c r="CB6" s="377">
        <v>0</v>
      </c>
      <c r="CC6" s="377">
        <v>0</v>
      </c>
      <c r="CD6" s="376" t="s">
        <v>469</v>
      </c>
      <c r="CE6" s="376" t="s">
        <v>224</v>
      </c>
      <c r="CF6" s="377">
        <v>0</v>
      </c>
      <c r="CG6" s="377">
        <v>0</v>
      </c>
      <c r="CH6" s="377">
        <v>0</v>
      </c>
      <c r="CI6" s="376" t="s">
        <v>468</v>
      </c>
      <c r="CJ6" s="376" t="s">
        <v>224</v>
      </c>
      <c r="CK6" s="377">
        <v>0</v>
      </c>
      <c r="CL6" s="377">
        <v>0</v>
      </c>
      <c r="CM6" s="377">
        <v>0</v>
      </c>
      <c r="CN6" s="376" t="s">
        <v>221</v>
      </c>
      <c r="CO6" s="376" t="s">
        <v>550</v>
      </c>
      <c r="CP6" s="376" t="s">
        <v>550</v>
      </c>
      <c r="CQ6" s="377">
        <v>1</v>
      </c>
      <c r="CR6" s="376" t="s">
        <v>180</v>
      </c>
      <c r="CS6" s="376" t="s">
        <v>155</v>
      </c>
      <c r="CT6" s="377">
        <v>100</v>
      </c>
      <c r="CU6" s="377">
        <v>11.5</v>
      </c>
      <c r="CV6" s="377">
        <v>3.25</v>
      </c>
      <c r="CW6" s="377">
        <v>15.47</v>
      </c>
      <c r="CX6" s="377">
        <v>0.43</v>
      </c>
      <c r="CY6" s="377">
        <v>0.2</v>
      </c>
      <c r="CZ6" s="377">
        <v>0</v>
      </c>
      <c r="DA6" s="377">
        <v>0</v>
      </c>
      <c r="DB6" s="377">
        <v>7.0000000000000007E-2</v>
      </c>
      <c r="DC6" s="377">
        <v>0.2</v>
      </c>
      <c r="DD6" s="377">
        <v>0</v>
      </c>
      <c r="DE6" s="377">
        <v>0</v>
      </c>
      <c r="DF6" s="376" t="s">
        <v>95</v>
      </c>
      <c r="DG6" s="376" t="s">
        <v>200</v>
      </c>
      <c r="DH6" s="377">
        <v>10</v>
      </c>
      <c r="DI6" s="377">
        <v>0</v>
      </c>
      <c r="DJ6" s="376" t="s">
        <v>95</v>
      </c>
      <c r="DK6" s="376" t="s">
        <v>200</v>
      </c>
      <c r="DL6" s="377">
        <v>10</v>
      </c>
      <c r="DM6" s="377">
        <v>0</v>
      </c>
      <c r="DN6" s="376" t="s">
        <v>552</v>
      </c>
      <c r="DO6" s="377">
        <v>10</v>
      </c>
      <c r="DP6" s="376" t="s">
        <v>550</v>
      </c>
      <c r="DQ6" s="376" t="s">
        <v>550</v>
      </c>
      <c r="DR6" s="376" t="s">
        <v>550</v>
      </c>
      <c r="DS6" s="379" t="s">
        <v>926</v>
      </c>
      <c r="DT6" s="379">
        <v>0</v>
      </c>
      <c r="DU6" s="373">
        <v>6</v>
      </c>
    </row>
    <row r="7" spans="1:168" x14ac:dyDescent="0.2">
      <c r="A7" s="374" t="s">
        <v>871</v>
      </c>
      <c r="E7" s="376" t="s">
        <v>1013</v>
      </c>
      <c r="F7" s="376" t="s">
        <v>392</v>
      </c>
      <c r="G7" s="377">
        <v>0</v>
      </c>
      <c r="H7" s="377">
        <v>0</v>
      </c>
      <c r="I7" s="377">
        <v>0</v>
      </c>
      <c r="J7" s="377">
        <v>0</v>
      </c>
      <c r="K7" s="377">
        <v>0</v>
      </c>
      <c r="L7" s="377">
        <v>0</v>
      </c>
      <c r="M7" s="377">
        <v>0</v>
      </c>
      <c r="N7" s="377">
        <v>0</v>
      </c>
      <c r="O7" s="377">
        <v>0</v>
      </c>
      <c r="P7" s="377">
        <v>0</v>
      </c>
      <c r="Q7" s="377">
        <v>0</v>
      </c>
      <c r="R7" s="377">
        <v>0</v>
      </c>
      <c r="S7" s="377">
        <v>6.5</v>
      </c>
      <c r="T7" s="377">
        <v>6</v>
      </c>
      <c r="U7" s="376" t="s">
        <v>196</v>
      </c>
      <c r="V7" s="378">
        <v>100</v>
      </c>
      <c r="W7" s="378">
        <v>1</v>
      </c>
      <c r="X7" s="376" t="s">
        <v>95</v>
      </c>
      <c r="Y7" s="376" t="s">
        <v>200</v>
      </c>
      <c r="Z7" s="377">
        <v>10</v>
      </c>
      <c r="AA7" s="377">
        <v>0</v>
      </c>
      <c r="AB7" s="376" t="s">
        <v>95</v>
      </c>
      <c r="AC7" s="376" t="s">
        <v>200</v>
      </c>
      <c r="AD7" s="377">
        <v>10</v>
      </c>
      <c r="AE7" s="376" t="s">
        <v>485</v>
      </c>
      <c r="AF7" s="376" t="s">
        <v>1002</v>
      </c>
      <c r="AG7" s="376" t="s">
        <v>224</v>
      </c>
      <c r="AH7" s="377">
        <v>15</v>
      </c>
      <c r="AI7" s="377">
        <v>0</v>
      </c>
      <c r="AJ7" s="377">
        <v>3</v>
      </c>
      <c r="AK7" s="376" t="s">
        <v>1001</v>
      </c>
      <c r="AL7" s="376" t="s">
        <v>225</v>
      </c>
      <c r="AM7" s="377">
        <v>1</v>
      </c>
      <c r="AN7" s="377">
        <v>0</v>
      </c>
      <c r="AO7" s="377">
        <v>1.5</v>
      </c>
      <c r="AP7" s="376" t="s">
        <v>1011</v>
      </c>
      <c r="AQ7" s="376" t="s">
        <v>974</v>
      </c>
      <c r="AR7" s="377">
        <v>0.5</v>
      </c>
      <c r="AS7" s="377">
        <v>0</v>
      </c>
      <c r="AT7" s="377">
        <v>2</v>
      </c>
      <c r="AU7" s="376" t="s">
        <v>1012</v>
      </c>
      <c r="AV7" s="376" t="s">
        <v>974</v>
      </c>
      <c r="AW7" s="377">
        <v>0.5</v>
      </c>
      <c r="AX7" s="377">
        <v>0</v>
      </c>
      <c r="AY7" s="377">
        <v>2</v>
      </c>
      <c r="AZ7" s="376"/>
      <c r="BA7" s="376" t="s">
        <v>224</v>
      </c>
      <c r="BB7" s="377">
        <v>0</v>
      </c>
      <c r="BC7" s="377">
        <v>0</v>
      </c>
      <c r="BD7" s="377">
        <v>0</v>
      </c>
      <c r="BE7" s="376"/>
      <c r="BF7" s="376" t="s">
        <v>224</v>
      </c>
      <c r="BG7" s="377">
        <v>0</v>
      </c>
      <c r="BH7" s="377">
        <v>0</v>
      </c>
      <c r="BI7" s="377">
        <v>0</v>
      </c>
      <c r="BJ7" s="376"/>
      <c r="BK7" s="376" t="s">
        <v>224</v>
      </c>
      <c r="BL7" s="377">
        <v>0</v>
      </c>
      <c r="BM7" s="377">
        <v>0</v>
      </c>
      <c r="BN7" s="377">
        <v>0</v>
      </c>
      <c r="BO7" s="376"/>
      <c r="BP7" s="376" t="s">
        <v>224</v>
      </c>
      <c r="BQ7" s="377">
        <v>0</v>
      </c>
      <c r="BR7" s="377">
        <v>0</v>
      </c>
      <c r="BS7" s="377">
        <v>0</v>
      </c>
      <c r="BT7" s="376"/>
      <c r="BU7" s="376" t="s">
        <v>224</v>
      </c>
      <c r="BV7" s="377">
        <v>0</v>
      </c>
      <c r="BW7" s="377">
        <v>0</v>
      </c>
      <c r="BX7" s="377">
        <v>0</v>
      </c>
      <c r="BY7" s="376"/>
      <c r="BZ7" s="376" t="s">
        <v>224</v>
      </c>
      <c r="CA7" s="377">
        <v>0</v>
      </c>
      <c r="CB7" s="377">
        <v>0</v>
      </c>
      <c r="CC7" s="377">
        <v>0</v>
      </c>
      <c r="CD7" s="376" t="s">
        <v>469</v>
      </c>
      <c r="CE7" s="376" t="s">
        <v>224</v>
      </c>
      <c r="CF7" s="377">
        <v>0</v>
      </c>
      <c r="CG7" s="377">
        <v>0</v>
      </c>
      <c r="CH7" s="377">
        <v>0</v>
      </c>
      <c r="CI7" s="376" t="s">
        <v>468</v>
      </c>
      <c r="CJ7" s="376" t="s">
        <v>224</v>
      </c>
      <c r="CK7" s="377">
        <v>0</v>
      </c>
      <c r="CL7" s="377">
        <v>0</v>
      </c>
      <c r="CM7" s="377">
        <v>0</v>
      </c>
      <c r="CN7" s="376" t="s">
        <v>221</v>
      </c>
      <c r="CO7" s="376" t="s">
        <v>550</v>
      </c>
      <c r="CP7" s="376" t="s">
        <v>550</v>
      </c>
      <c r="CQ7" s="377">
        <v>1</v>
      </c>
      <c r="CR7" s="376" t="s">
        <v>234</v>
      </c>
      <c r="CS7" s="376" t="s">
        <v>155</v>
      </c>
      <c r="CT7" s="377">
        <v>100</v>
      </c>
      <c r="CU7" s="377">
        <v>9</v>
      </c>
      <c r="CV7" s="377">
        <v>6.47</v>
      </c>
      <c r="CW7" s="377">
        <v>15.47</v>
      </c>
      <c r="CX7" s="377">
        <v>0.46</v>
      </c>
      <c r="CY7" s="377">
        <v>0.23</v>
      </c>
      <c r="CZ7" s="377">
        <v>0.02</v>
      </c>
      <c r="DA7" s="377">
        <v>0.15</v>
      </c>
      <c r="DB7" s="377">
        <v>0</v>
      </c>
      <c r="DC7" s="377">
        <v>0</v>
      </c>
      <c r="DD7" s="377">
        <v>0</v>
      </c>
      <c r="DE7" s="377">
        <v>0</v>
      </c>
      <c r="DF7" s="376" t="s">
        <v>95</v>
      </c>
      <c r="DG7" s="376" t="s">
        <v>200</v>
      </c>
      <c r="DH7" s="377">
        <v>10</v>
      </c>
      <c r="DI7" s="377">
        <v>3</v>
      </c>
      <c r="DJ7" s="376" t="s">
        <v>95</v>
      </c>
      <c r="DK7" s="376" t="s">
        <v>200</v>
      </c>
      <c r="DL7" s="377">
        <v>10</v>
      </c>
      <c r="DM7" s="377">
        <v>0</v>
      </c>
      <c r="DN7" s="376" t="s">
        <v>552</v>
      </c>
      <c r="DO7" s="377">
        <v>10</v>
      </c>
      <c r="DP7" s="376" t="s">
        <v>550</v>
      </c>
      <c r="DQ7" s="376" t="s">
        <v>550</v>
      </c>
      <c r="DR7" s="376" t="s">
        <v>550</v>
      </c>
      <c r="DS7" s="379" t="s">
        <v>926</v>
      </c>
      <c r="DT7" s="379">
        <v>0</v>
      </c>
      <c r="DU7" s="373">
        <v>7</v>
      </c>
    </row>
    <row r="8" spans="1:168" x14ac:dyDescent="0.2">
      <c r="A8" s="374" t="s">
        <v>947</v>
      </c>
      <c r="E8" s="376" t="s">
        <v>1014</v>
      </c>
      <c r="F8" s="376" t="s">
        <v>392</v>
      </c>
      <c r="G8" s="377">
        <v>0</v>
      </c>
      <c r="H8" s="377">
        <v>0</v>
      </c>
      <c r="I8" s="377">
        <v>0</v>
      </c>
      <c r="J8" s="377">
        <v>0</v>
      </c>
      <c r="K8" s="377">
        <v>0</v>
      </c>
      <c r="L8" s="377">
        <v>0</v>
      </c>
      <c r="M8" s="377">
        <v>0</v>
      </c>
      <c r="N8" s="377">
        <v>0</v>
      </c>
      <c r="O8" s="377">
        <v>0</v>
      </c>
      <c r="P8" s="377">
        <v>0</v>
      </c>
      <c r="Q8" s="377">
        <v>0</v>
      </c>
      <c r="R8" s="377">
        <v>0</v>
      </c>
      <c r="S8" s="377">
        <v>6.5</v>
      </c>
      <c r="T8" s="377">
        <v>6</v>
      </c>
      <c r="U8" s="376" t="s">
        <v>196</v>
      </c>
      <c r="V8" s="378">
        <v>100</v>
      </c>
      <c r="W8" s="378">
        <v>1</v>
      </c>
      <c r="X8" s="376" t="s">
        <v>95</v>
      </c>
      <c r="Y8" s="376" t="s">
        <v>200</v>
      </c>
      <c r="Z8" s="377">
        <v>10</v>
      </c>
      <c r="AA8" s="377">
        <v>0</v>
      </c>
      <c r="AB8" s="376" t="s">
        <v>95</v>
      </c>
      <c r="AC8" s="376" t="s">
        <v>200</v>
      </c>
      <c r="AD8" s="377">
        <v>10</v>
      </c>
      <c r="AE8" s="376" t="s">
        <v>485</v>
      </c>
      <c r="AF8" s="376" t="s">
        <v>1002</v>
      </c>
      <c r="AG8" s="376" t="s">
        <v>224</v>
      </c>
      <c r="AH8" s="377">
        <v>18</v>
      </c>
      <c r="AI8" s="377">
        <v>0</v>
      </c>
      <c r="AJ8" s="377">
        <v>3</v>
      </c>
      <c r="AK8" s="376" t="s">
        <v>1015</v>
      </c>
      <c r="AL8" s="376" t="s">
        <v>225</v>
      </c>
      <c r="AM8" s="377">
        <v>1.5</v>
      </c>
      <c r="AN8" s="377">
        <v>0</v>
      </c>
      <c r="AO8" s="377">
        <v>60</v>
      </c>
      <c r="AP8" s="376" t="s">
        <v>1018</v>
      </c>
      <c r="AQ8" s="376" t="s">
        <v>225</v>
      </c>
      <c r="AR8" s="377">
        <v>1</v>
      </c>
      <c r="AS8" s="377">
        <v>0</v>
      </c>
      <c r="AT8" s="377">
        <v>80</v>
      </c>
      <c r="AU8" s="376" t="s">
        <v>1016</v>
      </c>
      <c r="AV8" s="376" t="s">
        <v>973</v>
      </c>
      <c r="AW8" s="377">
        <v>0.5</v>
      </c>
      <c r="AX8" s="377">
        <v>0</v>
      </c>
      <c r="AY8" s="377">
        <v>225</v>
      </c>
      <c r="AZ8" s="376" t="s">
        <v>1017</v>
      </c>
      <c r="BA8" s="376" t="s">
        <v>973</v>
      </c>
      <c r="BB8" s="377">
        <v>2</v>
      </c>
      <c r="BC8" s="377">
        <v>0</v>
      </c>
      <c r="BD8" s="377">
        <v>500</v>
      </c>
      <c r="BE8" s="376"/>
      <c r="BF8" s="376" t="s">
        <v>224</v>
      </c>
      <c r="BG8" s="377">
        <v>0</v>
      </c>
      <c r="BH8" s="377">
        <v>0</v>
      </c>
      <c r="BI8" s="377">
        <v>0</v>
      </c>
      <c r="BJ8" s="376"/>
      <c r="BK8" s="376" t="s">
        <v>224</v>
      </c>
      <c r="BL8" s="377">
        <v>0</v>
      </c>
      <c r="BM8" s="377">
        <v>0</v>
      </c>
      <c r="BN8" s="377">
        <v>0</v>
      </c>
      <c r="BO8" s="376"/>
      <c r="BP8" s="376" t="s">
        <v>224</v>
      </c>
      <c r="BQ8" s="377">
        <v>0</v>
      </c>
      <c r="BR8" s="377">
        <v>0</v>
      </c>
      <c r="BS8" s="377">
        <v>0</v>
      </c>
      <c r="BT8" s="376"/>
      <c r="BU8" s="376" t="s">
        <v>224</v>
      </c>
      <c r="BV8" s="377">
        <v>0</v>
      </c>
      <c r="BW8" s="377">
        <v>0</v>
      </c>
      <c r="BX8" s="377">
        <v>0</v>
      </c>
      <c r="BY8" s="376"/>
      <c r="BZ8" s="376" t="s">
        <v>224</v>
      </c>
      <c r="CA8" s="377">
        <v>0</v>
      </c>
      <c r="CB8" s="377">
        <v>0</v>
      </c>
      <c r="CC8" s="377">
        <v>0</v>
      </c>
      <c r="CD8" s="376" t="s">
        <v>469</v>
      </c>
      <c r="CE8" s="376" t="s">
        <v>224</v>
      </c>
      <c r="CF8" s="377">
        <v>0</v>
      </c>
      <c r="CG8" s="377">
        <v>0</v>
      </c>
      <c r="CH8" s="377">
        <v>0</v>
      </c>
      <c r="CI8" s="376" t="s">
        <v>468</v>
      </c>
      <c r="CJ8" s="376" t="s">
        <v>224</v>
      </c>
      <c r="CK8" s="377">
        <v>0</v>
      </c>
      <c r="CL8" s="377">
        <v>0</v>
      </c>
      <c r="CM8" s="377">
        <v>0</v>
      </c>
      <c r="CN8" s="376" t="s">
        <v>221</v>
      </c>
      <c r="CO8" s="376" t="s">
        <v>550</v>
      </c>
      <c r="CP8" s="376" t="s">
        <v>549</v>
      </c>
      <c r="CQ8" s="377">
        <v>1</v>
      </c>
      <c r="CR8" s="376" t="s">
        <v>179</v>
      </c>
      <c r="CS8" s="376" t="s">
        <v>155</v>
      </c>
      <c r="CT8" s="377">
        <v>100</v>
      </c>
      <c r="CU8" s="377">
        <v>10.8</v>
      </c>
      <c r="CV8" s="377">
        <v>4</v>
      </c>
      <c r="CW8" s="377">
        <v>12.5</v>
      </c>
      <c r="CX8" s="377">
        <v>0.48</v>
      </c>
      <c r="CY8" s="377">
        <v>0.19</v>
      </c>
      <c r="CZ8" s="377">
        <v>0.05</v>
      </c>
      <c r="DA8" s="377">
        <v>0</v>
      </c>
      <c r="DB8" s="377">
        <v>0.14000000000000001</v>
      </c>
      <c r="DC8" s="377">
        <v>0</v>
      </c>
      <c r="DD8" s="377">
        <v>0</v>
      </c>
      <c r="DE8" s="377">
        <v>0</v>
      </c>
      <c r="DF8" s="376" t="s">
        <v>95</v>
      </c>
      <c r="DG8" s="376" t="s">
        <v>200</v>
      </c>
      <c r="DH8" s="377">
        <v>10</v>
      </c>
      <c r="DI8" s="377">
        <v>0.5</v>
      </c>
      <c r="DJ8" s="376" t="s">
        <v>95</v>
      </c>
      <c r="DK8" s="376" t="s">
        <v>200</v>
      </c>
      <c r="DL8" s="377">
        <v>10</v>
      </c>
      <c r="DM8" s="377">
        <v>0</v>
      </c>
      <c r="DN8" s="376" t="s">
        <v>552</v>
      </c>
      <c r="DO8" s="377">
        <v>10</v>
      </c>
      <c r="DP8" s="376" t="s">
        <v>550</v>
      </c>
      <c r="DQ8" s="376" t="s">
        <v>550</v>
      </c>
      <c r="DR8" s="376" t="s">
        <v>550</v>
      </c>
      <c r="DS8" s="379" t="s">
        <v>926</v>
      </c>
      <c r="DT8" s="379">
        <v>0</v>
      </c>
      <c r="DU8" s="373">
        <v>8</v>
      </c>
    </row>
    <row r="9" spans="1:168" x14ac:dyDescent="0.2">
      <c r="A9" s="374" t="s">
        <v>887</v>
      </c>
      <c r="E9" s="376" t="s">
        <v>1020</v>
      </c>
      <c r="F9" s="376" t="s">
        <v>392</v>
      </c>
      <c r="G9" s="377">
        <v>0</v>
      </c>
      <c r="H9" s="377">
        <v>0</v>
      </c>
      <c r="I9" s="377">
        <v>0</v>
      </c>
      <c r="J9" s="377">
        <v>0</v>
      </c>
      <c r="K9" s="377">
        <v>0</v>
      </c>
      <c r="L9" s="377">
        <v>0</v>
      </c>
      <c r="M9" s="377">
        <v>0</v>
      </c>
      <c r="N9" s="377">
        <v>0</v>
      </c>
      <c r="O9" s="377">
        <v>0</v>
      </c>
      <c r="P9" s="377">
        <v>0</v>
      </c>
      <c r="Q9" s="377">
        <v>0</v>
      </c>
      <c r="R9" s="377">
        <v>0</v>
      </c>
      <c r="S9" s="377">
        <v>6.5</v>
      </c>
      <c r="T9" s="377">
        <v>6</v>
      </c>
      <c r="U9" s="376" t="s">
        <v>196</v>
      </c>
      <c r="V9" s="378">
        <v>100</v>
      </c>
      <c r="W9" s="378">
        <v>1</v>
      </c>
      <c r="X9" s="376" t="s">
        <v>95</v>
      </c>
      <c r="Y9" s="376" t="s">
        <v>200</v>
      </c>
      <c r="Z9" s="377">
        <v>10</v>
      </c>
      <c r="AA9" s="377">
        <v>0</v>
      </c>
      <c r="AB9" s="376" t="s">
        <v>95</v>
      </c>
      <c r="AC9" s="376" t="s">
        <v>200</v>
      </c>
      <c r="AD9" s="377">
        <v>10</v>
      </c>
      <c r="AE9" s="376" t="s">
        <v>485</v>
      </c>
      <c r="AF9" s="376" t="s">
        <v>162</v>
      </c>
      <c r="AG9" s="376" t="s">
        <v>224</v>
      </c>
      <c r="AH9" s="377">
        <v>24</v>
      </c>
      <c r="AI9" s="377">
        <v>0</v>
      </c>
      <c r="AJ9" s="377">
        <v>2.4</v>
      </c>
      <c r="AK9" s="376" t="s">
        <v>1019</v>
      </c>
      <c r="AL9" s="376" t="s">
        <v>225</v>
      </c>
      <c r="AM9" s="377">
        <v>0</v>
      </c>
      <c r="AN9" s="377">
        <v>6.4</v>
      </c>
      <c r="AO9" s="377">
        <v>40</v>
      </c>
      <c r="AP9" s="376"/>
      <c r="AQ9" s="376" t="s">
        <v>224</v>
      </c>
      <c r="AR9" s="377"/>
      <c r="AS9" s="377">
        <v>0</v>
      </c>
      <c r="AT9" s="377"/>
      <c r="AU9" s="376"/>
      <c r="AV9" s="376" t="s">
        <v>224</v>
      </c>
      <c r="AW9" s="377">
        <v>0</v>
      </c>
      <c r="AX9" s="377">
        <v>0</v>
      </c>
      <c r="AY9" s="377">
        <v>0</v>
      </c>
      <c r="AZ9" s="376"/>
      <c r="BA9" s="376" t="s">
        <v>224</v>
      </c>
      <c r="BB9" s="377">
        <v>0</v>
      </c>
      <c r="BC9" s="377">
        <v>0</v>
      </c>
      <c r="BD9" s="377">
        <v>0</v>
      </c>
      <c r="BE9" s="376"/>
      <c r="BF9" s="376" t="s">
        <v>224</v>
      </c>
      <c r="BG9" s="377">
        <v>0</v>
      </c>
      <c r="BH9" s="377">
        <v>0</v>
      </c>
      <c r="BI9" s="377">
        <v>0</v>
      </c>
      <c r="BJ9" s="376"/>
      <c r="BK9" s="376" t="s">
        <v>224</v>
      </c>
      <c r="BL9" s="377">
        <v>0</v>
      </c>
      <c r="BM9" s="377">
        <v>0</v>
      </c>
      <c r="BN9" s="377">
        <v>0</v>
      </c>
      <c r="BO9" s="376"/>
      <c r="BP9" s="376" t="s">
        <v>224</v>
      </c>
      <c r="BQ9" s="377">
        <v>0</v>
      </c>
      <c r="BR9" s="377">
        <v>0</v>
      </c>
      <c r="BS9" s="377">
        <v>0</v>
      </c>
      <c r="BT9" s="376"/>
      <c r="BU9" s="376" t="s">
        <v>224</v>
      </c>
      <c r="BV9" s="377">
        <v>0</v>
      </c>
      <c r="BW9" s="377">
        <v>0</v>
      </c>
      <c r="BX9" s="377">
        <v>0</v>
      </c>
      <c r="BY9" s="376"/>
      <c r="BZ9" s="376" t="s">
        <v>224</v>
      </c>
      <c r="CA9" s="377">
        <v>0</v>
      </c>
      <c r="CB9" s="377">
        <v>0</v>
      </c>
      <c r="CC9" s="377">
        <v>0</v>
      </c>
      <c r="CD9" s="376" t="s">
        <v>469</v>
      </c>
      <c r="CE9" s="376" t="s">
        <v>224</v>
      </c>
      <c r="CF9" s="377">
        <v>0</v>
      </c>
      <c r="CG9" s="377">
        <v>0</v>
      </c>
      <c r="CH9" s="377">
        <v>0</v>
      </c>
      <c r="CI9" s="376" t="s">
        <v>468</v>
      </c>
      <c r="CJ9" s="376" t="s">
        <v>224</v>
      </c>
      <c r="CK9" s="377">
        <v>0</v>
      </c>
      <c r="CL9" s="377">
        <v>0</v>
      </c>
      <c r="CM9" s="377">
        <v>0</v>
      </c>
      <c r="CN9" s="376" t="s">
        <v>221</v>
      </c>
      <c r="CO9" s="376" t="s">
        <v>550</v>
      </c>
      <c r="CP9" s="376" t="s">
        <v>549</v>
      </c>
      <c r="CQ9" s="377">
        <v>1</v>
      </c>
      <c r="CR9" s="376" t="s">
        <v>234</v>
      </c>
      <c r="CS9" s="376" t="s">
        <v>155</v>
      </c>
      <c r="CT9" s="377">
        <v>100</v>
      </c>
      <c r="CU9" s="377">
        <v>10.5</v>
      </c>
      <c r="CV9" s="377">
        <v>5</v>
      </c>
      <c r="CW9" s="377">
        <v>12.37</v>
      </c>
      <c r="CX9" s="377">
        <v>0.25</v>
      </c>
      <c r="CY9" s="377">
        <v>0.2</v>
      </c>
      <c r="CZ9" s="377">
        <v>0.1</v>
      </c>
      <c r="DA9" s="377">
        <v>0</v>
      </c>
      <c r="DB9" s="377">
        <v>0.01</v>
      </c>
      <c r="DC9" s="377">
        <v>0</v>
      </c>
      <c r="DD9" s="377">
        <v>0</v>
      </c>
      <c r="DE9" s="377">
        <v>0</v>
      </c>
      <c r="DF9" s="376" t="s">
        <v>95</v>
      </c>
      <c r="DG9" s="376" t="s">
        <v>200</v>
      </c>
      <c r="DH9" s="377">
        <v>85</v>
      </c>
      <c r="DI9" s="377">
        <v>0.28000000000000003</v>
      </c>
      <c r="DJ9" s="376" t="s">
        <v>95</v>
      </c>
      <c r="DK9" s="376" t="s">
        <v>200</v>
      </c>
      <c r="DL9" s="377">
        <v>10</v>
      </c>
      <c r="DM9" s="377">
        <v>0</v>
      </c>
      <c r="DN9" s="376" t="s">
        <v>552</v>
      </c>
      <c r="DO9" s="377">
        <v>10</v>
      </c>
      <c r="DP9" s="376" t="s">
        <v>549</v>
      </c>
      <c r="DQ9" s="376" t="s">
        <v>550</v>
      </c>
      <c r="DR9" s="376" t="s">
        <v>550</v>
      </c>
      <c r="DS9" s="379" t="s">
        <v>926</v>
      </c>
      <c r="DT9" s="379">
        <v>0</v>
      </c>
      <c r="DU9" s="373">
        <v>9</v>
      </c>
    </row>
    <row r="10" spans="1:168" x14ac:dyDescent="0.2">
      <c r="A10" s="374" t="s">
        <v>878</v>
      </c>
      <c r="E10" s="376" t="s">
        <v>1021</v>
      </c>
      <c r="F10" s="376" t="s">
        <v>392</v>
      </c>
      <c r="G10" s="377">
        <v>0</v>
      </c>
      <c r="H10" s="377">
        <v>0</v>
      </c>
      <c r="I10" s="377">
        <v>0</v>
      </c>
      <c r="J10" s="377">
        <v>0</v>
      </c>
      <c r="K10" s="377">
        <v>0</v>
      </c>
      <c r="L10" s="377">
        <v>0</v>
      </c>
      <c r="M10" s="377">
        <v>0</v>
      </c>
      <c r="N10" s="377">
        <v>0</v>
      </c>
      <c r="O10" s="377">
        <v>0</v>
      </c>
      <c r="P10" s="377">
        <v>0</v>
      </c>
      <c r="Q10" s="377">
        <v>0</v>
      </c>
      <c r="R10" s="377">
        <v>0</v>
      </c>
      <c r="S10" s="377">
        <v>6.5</v>
      </c>
      <c r="T10" s="377">
        <v>6</v>
      </c>
      <c r="U10" s="376" t="s">
        <v>196</v>
      </c>
      <c r="V10" s="378">
        <v>100</v>
      </c>
      <c r="W10" s="378">
        <v>1</v>
      </c>
      <c r="X10" s="376" t="s">
        <v>95</v>
      </c>
      <c r="Y10" s="376" t="s">
        <v>200</v>
      </c>
      <c r="Z10" s="377">
        <v>10</v>
      </c>
      <c r="AA10" s="377">
        <v>0</v>
      </c>
      <c r="AB10" s="376" t="s">
        <v>95</v>
      </c>
      <c r="AC10" s="376" t="s">
        <v>200</v>
      </c>
      <c r="AD10" s="377">
        <v>10</v>
      </c>
      <c r="AE10" s="376" t="s">
        <v>485</v>
      </c>
      <c r="AF10" s="376" t="s">
        <v>1022</v>
      </c>
      <c r="AG10" s="376" t="s">
        <v>224</v>
      </c>
      <c r="AH10" s="377">
        <v>16</v>
      </c>
      <c r="AI10" s="377">
        <v>0</v>
      </c>
      <c r="AJ10" s="377">
        <v>2.4</v>
      </c>
      <c r="AK10" s="376" t="s">
        <v>1000</v>
      </c>
      <c r="AL10" s="376" t="s">
        <v>974</v>
      </c>
      <c r="AM10" s="377">
        <v>0.5</v>
      </c>
      <c r="AN10" s="377">
        <v>0</v>
      </c>
      <c r="AO10" s="377">
        <v>3</v>
      </c>
      <c r="AP10" s="376" t="s">
        <v>1012</v>
      </c>
      <c r="AQ10" s="376" t="s">
        <v>974</v>
      </c>
      <c r="AR10" s="377">
        <v>0.5</v>
      </c>
      <c r="AS10" s="377">
        <v>0</v>
      </c>
      <c r="AT10" s="377">
        <v>3</v>
      </c>
      <c r="AU10" s="376"/>
      <c r="AV10" s="376" t="s">
        <v>224</v>
      </c>
      <c r="AW10" s="377">
        <v>0</v>
      </c>
      <c r="AX10" s="377">
        <v>0</v>
      </c>
      <c r="AY10" s="377">
        <v>0</v>
      </c>
      <c r="AZ10" s="376"/>
      <c r="BA10" s="376" t="s">
        <v>224</v>
      </c>
      <c r="BB10" s="377">
        <v>0</v>
      </c>
      <c r="BC10" s="377">
        <v>0</v>
      </c>
      <c r="BD10" s="377">
        <v>0</v>
      </c>
      <c r="BE10" s="376"/>
      <c r="BF10" s="376" t="s">
        <v>224</v>
      </c>
      <c r="BG10" s="377">
        <v>0</v>
      </c>
      <c r="BH10" s="377">
        <v>0</v>
      </c>
      <c r="BI10" s="377">
        <v>0</v>
      </c>
      <c r="BJ10" s="376"/>
      <c r="BK10" s="376" t="s">
        <v>224</v>
      </c>
      <c r="BL10" s="377">
        <v>0</v>
      </c>
      <c r="BM10" s="377">
        <v>0</v>
      </c>
      <c r="BN10" s="377">
        <v>0</v>
      </c>
      <c r="BO10" s="376"/>
      <c r="BP10" s="376" t="s">
        <v>224</v>
      </c>
      <c r="BQ10" s="377">
        <v>0</v>
      </c>
      <c r="BR10" s="377">
        <v>0</v>
      </c>
      <c r="BS10" s="377">
        <v>0</v>
      </c>
      <c r="BT10" s="376"/>
      <c r="BU10" s="376" t="s">
        <v>224</v>
      </c>
      <c r="BV10" s="377">
        <v>0</v>
      </c>
      <c r="BW10" s="377">
        <v>0</v>
      </c>
      <c r="BX10" s="377">
        <v>0</v>
      </c>
      <c r="BY10" s="376"/>
      <c r="BZ10" s="376" t="s">
        <v>224</v>
      </c>
      <c r="CA10" s="377">
        <v>0</v>
      </c>
      <c r="CB10" s="377">
        <v>0</v>
      </c>
      <c r="CC10" s="377">
        <v>0</v>
      </c>
      <c r="CD10" s="376" t="s">
        <v>469</v>
      </c>
      <c r="CE10" s="376" t="s">
        <v>224</v>
      </c>
      <c r="CF10" s="377">
        <v>0</v>
      </c>
      <c r="CG10" s="377">
        <v>0</v>
      </c>
      <c r="CH10" s="377">
        <v>0</v>
      </c>
      <c r="CI10" s="376" t="s">
        <v>468</v>
      </c>
      <c r="CJ10" s="376" t="s">
        <v>224</v>
      </c>
      <c r="CK10" s="377">
        <v>0</v>
      </c>
      <c r="CL10" s="377">
        <v>0</v>
      </c>
      <c r="CM10" s="377">
        <v>0</v>
      </c>
      <c r="CN10" s="376" t="s">
        <v>221</v>
      </c>
      <c r="CO10" s="376" t="s">
        <v>550</v>
      </c>
      <c r="CP10" s="376" t="s">
        <v>549</v>
      </c>
      <c r="CQ10" s="377">
        <v>1</v>
      </c>
      <c r="CR10" s="376" t="s">
        <v>234</v>
      </c>
      <c r="CS10" s="376" t="s">
        <v>155</v>
      </c>
      <c r="CT10" s="377">
        <v>100</v>
      </c>
      <c r="CU10" s="377">
        <v>8.6</v>
      </c>
      <c r="CV10" s="377">
        <v>5</v>
      </c>
      <c r="CW10" s="377">
        <v>11</v>
      </c>
      <c r="CX10" s="377">
        <v>0.24</v>
      </c>
      <c r="CY10" s="377">
        <v>0.2</v>
      </c>
      <c r="CZ10" s="377">
        <v>0.1</v>
      </c>
      <c r="DA10" s="377">
        <v>0</v>
      </c>
      <c r="DB10" s="377">
        <v>0.01</v>
      </c>
      <c r="DC10" s="377">
        <v>0</v>
      </c>
      <c r="DD10" s="377">
        <v>0</v>
      </c>
      <c r="DE10" s="377">
        <v>0</v>
      </c>
      <c r="DF10" s="376" t="s">
        <v>95</v>
      </c>
      <c r="DG10" s="376" t="s">
        <v>200</v>
      </c>
      <c r="DH10" s="377">
        <v>85</v>
      </c>
      <c r="DI10" s="377">
        <v>0.25</v>
      </c>
      <c r="DJ10" s="376" t="s">
        <v>95</v>
      </c>
      <c r="DK10" s="376" t="s">
        <v>200</v>
      </c>
      <c r="DL10" s="377">
        <v>10</v>
      </c>
      <c r="DM10" s="377">
        <v>0</v>
      </c>
      <c r="DN10" s="376" t="s">
        <v>552</v>
      </c>
      <c r="DO10" s="377">
        <v>10</v>
      </c>
      <c r="DP10" s="376" t="s">
        <v>549</v>
      </c>
      <c r="DQ10" s="376" t="s">
        <v>550</v>
      </c>
      <c r="DR10" s="376" t="s">
        <v>550</v>
      </c>
      <c r="DS10" s="379" t="s">
        <v>926</v>
      </c>
      <c r="DT10" s="379">
        <v>0</v>
      </c>
      <c r="DU10" s="373">
        <v>10</v>
      </c>
    </row>
    <row r="11" spans="1:168" x14ac:dyDescent="0.2">
      <c r="A11" s="374" t="s">
        <v>879</v>
      </c>
      <c r="E11" s="376"/>
      <c r="F11" s="376"/>
      <c r="G11" s="377"/>
      <c r="H11" s="377"/>
      <c r="I11" s="377"/>
      <c r="J11" s="377"/>
      <c r="K11" s="377"/>
      <c r="L11" s="377"/>
      <c r="M11" s="377"/>
      <c r="N11" s="377"/>
      <c r="O11" s="377"/>
      <c r="P11" s="377"/>
      <c r="Q11" s="377"/>
      <c r="R11" s="377"/>
      <c r="S11" s="377"/>
      <c r="T11" s="377"/>
      <c r="U11" s="376"/>
      <c r="V11" s="378"/>
      <c r="W11" s="378"/>
      <c r="X11" s="376"/>
      <c r="Y11" s="376"/>
      <c r="Z11" s="377"/>
      <c r="AA11" s="377"/>
      <c r="AB11" s="376"/>
      <c r="AC11" s="376"/>
      <c r="AD11" s="377"/>
      <c r="AE11" s="376"/>
      <c r="AF11" s="376"/>
      <c r="AG11" s="376"/>
      <c r="AH11" s="377"/>
      <c r="AI11" s="377"/>
      <c r="AJ11" s="377"/>
      <c r="AK11" s="376"/>
      <c r="AL11" s="376"/>
      <c r="AM11" s="377"/>
      <c r="AN11" s="377"/>
      <c r="AO11" s="377"/>
      <c r="AP11" s="376"/>
      <c r="AQ11" s="376"/>
      <c r="AR11" s="377"/>
      <c r="AS11" s="377"/>
      <c r="AT11" s="377"/>
      <c r="AU11" s="376"/>
      <c r="AV11" s="376"/>
      <c r="AW11" s="377"/>
      <c r="AX11" s="377"/>
      <c r="AY11" s="377"/>
      <c r="AZ11" s="376"/>
      <c r="BA11" s="376"/>
      <c r="BB11" s="377"/>
      <c r="BC11" s="377"/>
      <c r="BD11" s="377"/>
      <c r="BE11" s="376"/>
      <c r="BF11" s="376"/>
      <c r="BG11" s="377"/>
      <c r="BH11" s="377"/>
      <c r="BI11" s="377"/>
      <c r="BJ11" s="376"/>
      <c r="BK11" s="376"/>
      <c r="BL11" s="377"/>
      <c r="BM11" s="377"/>
      <c r="BN11" s="377"/>
      <c r="BO11" s="376"/>
      <c r="BP11" s="376"/>
      <c r="BQ11" s="377"/>
      <c r="BR11" s="377"/>
      <c r="BS11" s="377"/>
      <c r="BT11" s="376"/>
      <c r="BU11" s="376"/>
      <c r="BV11" s="377"/>
      <c r="BW11" s="377"/>
      <c r="BX11" s="377"/>
      <c r="BY11" s="376"/>
      <c r="BZ11" s="376"/>
      <c r="CA11" s="377"/>
      <c r="CB11" s="377"/>
      <c r="CC11" s="377"/>
      <c r="CD11" s="376"/>
      <c r="CE11" s="376"/>
      <c r="CF11" s="377"/>
      <c r="CG11" s="377"/>
      <c r="CH11" s="377"/>
      <c r="CI11" s="376"/>
      <c r="CJ11" s="376"/>
      <c r="CK11" s="377"/>
      <c r="CL11" s="377"/>
      <c r="CM11" s="377"/>
      <c r="CN11" s="376"/>
      <c r="CO11" s="376"/>
      <c r="CP11" s="376"/>
      <c r="CQ11" s="377"/>
      <c r="CR11" s="376"/>
      <c r="CS11" s="376"/>
      <c r="CT11" s="377"/>
      <c r="CU11" s="377"/>
      <c r="CV11" s="377"/>
      <c r="CW11" s="377"/>
      <c r="CX11" s="377"/>
      <c r="CY11" s="377"/>
      <c r="CZ11" s="377"/>
      <c r="DA11" s="377"/>
      <c r="DB11" s="377"/>
      <c r="DC11" s="377"/>
      <c r="DD11" s="377"/>
      <c r="DE11" s="377"/>
      <c r="DF11" s="376"/>
      <c r="DG11" s="376"/>
      <c r="DH11" s="377"/>
      <c r="DI11" s="377"/>
      <c r="DJ11" s="376"/>
      <c r="DK11" s="376"/>
      <c r="DL11" s="377"/>
      <c r="DM11" s="377"/>
      <c r="DN11" s="376"/>
      <c r="DO11" s="377"/>
      <c r="DP11" s="376"/>
      <c r="DQ11" s="376"/>
      <c r="DR11" s="376"/>
      <c r="DS11" s="379"/>
      <c r="DT11" s="379"/>
      <c r="DU11" s="373">
        <v>11</v>
      </c>
    </row>
    <row r="12" spans="1:168" x14ac:dyDescent="0.2">
      <c r="A12" s="374"/>
      <c r="E12" s="376"/>
      <c r="F12" s="376"/>
      <c r="G12" s="377"/>
      <c r="H12" s="377"/>
      <c r="I12" s="377"/>
      <c r="J12" s="377"/>
      <c r="K12" s="377"/>
      <c r="L12" s="377"/>
      <c r="M12" s="377"/>
      <c r="N12" s="377"/>
      <c r="O12" s="377"/>
      <c r="P12" s="377"/>
      <c r="Q12" s="377"/>
      <c r="R12" s="377"/>
      <c r="S12" s="377"/>
      <c r="T12" s="377"/>
      <c r="U12" s="376"/>
      <c r="V12" s="378"/>
      <c r="W12" s="378"/>
      <c r="X12" s="376"/>
      <c r="Y12" s="376"/>
      <c r="Z12" s="377"/>
      <c r="AA12" s="377"/>
      <c r="AB12" s="376"/>
      <c r="AC12" s="376"/>
      <c r="AD12" s="377"/>
      <c r="AE12" s="376"/>
      <c r="AF12" s="376"/>
      <c r="AG12" s="376"/>
      <c r="AH12" s="377"/>
      <c r="AI12" s="377"/>
      <c r="AJ12" s="377"/>
      <c r="AK12" s="376"/>
      <c r="AL12" s="376"/>
      <c r="AM12" s="377"/>
      <c r="AN12" s="377"/>
      <c r="AO12" s="377"/>
      <c r="AP12" s="376"/>
      <c r="AQ12" s="376"/>
      <c r="AR12" s="377"/>
      <c r="AS12" s="377"/>
      <c r="AT12" s="377"/>
      <c r="AU12" s="376"/>
      <c r="AV12" s="376"/>
      <c r="AW12" s="377"/>
      <c r="AX12" s="377"/>
      <c r="AY12" s="377"/>
      <c r="AZ12" s="376"/>
      <c r="BA12" s="376"/>
      <c r="BB12" s="377"/>
      <c r="BC12" s="377"/>
      <c r="BD12" s="377"/>
      <c r="BE12" s="376"/>
      <c r="BF12" s="376"/>
      <c r="BG12" s="377"/>
      <c r="BH12" s="377"/>
      <c r="BI12" s="377"/>
      <c r="BJ12" s="376"/>
      <c r="BK12" s="376"/>
      <c r="BL12" s="377"/>
      <c r="BM12" s="377"/>
      <c r="BN12" s="377"/>
      <c r="BO12" s="376"/>
      <c r="BP12" s="376"/>
      <c r="BQ12" s="377"/>
      <c r="BR12" s="377"/>
      <c r="BS12" s="377"/>
      <c r="BT12" s="376"/>
      <c r="BU12" s="376"/>
      <c r="BV12" s="377"/>
      <c r="BW12" s="377"/>
      <c r="BX12" s="377"/>
      <c r="BY12" s="376"/>
      <c r="BZ12" s="376"/>
      <c r="CA12" s="377"/>
      <c r="CB12" s="377"/>
      <c r="CC12" s="377"/>
      <c r="CD12" s="376"/>
      <c r="CE12" s="376"/>
      <c r="CF12" s="377"/>
      <c r="CG12" s="377"/>
      <c r="CH12" s="377"/>
      <c r="CI12" s="376"/>
      <c r="CJ12" s="376"/>
      <c r="CK12" s="377"/>
      <c r="CL12" s="377"/>
      <c r="CM12" s="377"/>
      <c r="CN12" s="376"/>
      <c r="CO12" s="376"/>
      <c r="CP12" s="376"/>
      <c r="CQ12" s="377"/>
      <c r="CR12" s="376"/>
      <c r="CS12" s="376"/>
      <c r="CT12" s="377"/>
      <c r="CU12" s="377"/>
      <c r="CV12" s="377"/>
      <c r="CW12" s="377"/>
      <c r="CX12" s="377"/>
      <c r="CY12" s="377"/>
      <c r="CZ12" s="377"/>
      <c r="DA12" s="377"/>
      <c r="DB12" s="377"/>
      <c r="DC12" s="377"/>
      <c r="DD12" s="377"/>
      <c r="DE12" s="377"/>
      <c r="DF12" s="376"/>
      <c r="DG12" s="376"/>
      <c r="DH12" s="377"/>
      <c r="DI12" s="377"/>
      <c r="DJ12" s="376"/>
      <c r="DK12" s="376"/>
      <c r="DL12" s="377"/>
      <c r="DM12" s="377"/>
      <c r="DN12" s="376"/>
      <c r="DO12" s="377"/>
      <c r="DP12" s="376"/>
      <c r="DQ12" s="376"/>
      <c r="DR12" s="376"/>
      <c r="DS12" s="379"/>
      <c r="DT12" s="379"/>
      <c r="DU12" s="373">
        <v>12</v>
      </c>
    </row>
    <row r="13" spans="1:168" x14ac:dyDescent="0.2">
      <c r="A13" s="370" t="s">
        <v>877</v>
      </c>
      <c r="E13" s="376"/>
      <c r="F13" s="376"/>
      <c r="G13" s="377"/>
      <c r="H13" s="377"/>
      <c r="I13" s="377"/>
      <c r="J13" s="377"/>
      <c r="K13" s="377"/>
      <c r="L13" s="377"/>
      <c r="M13" s="377"/>
      <c r="N13" s="377"/>
      <c r="O13" s="377"/>
      <c r="P13" s="377"/>
      <c r="Q13" s="377"/>
      <c r="R13" s="377"/>
      <c r="S13" s="377"/>
      <c r="T13" s="377"/>
      <c r="U13" s="376"/>
      <c r="V13" s="378"/>
      <c r="W13" s="378"/>
      <c r="X13" s="376"/>
      <c r="Y13" s="376"/>
      <c r="Z13" s="377"/>
      <c r="AA13" s="377"/>
      <c r="AB13" s="376"/>
      <c r="AC13" s="376"/>
      <c r="AD13" s="377"/>
      <c r="AE13" s="376"/>
      <c r="AF13" s="376"/>
      <c r="AG13" s="376"/>
      <c r="AH13" s="377"/>
      <c r="AI13" s="377"/>
      <c r="AJ13" s="377"/>
      <c r="AK13" s="376"/>
      <c r="AL13" s="376"/>
      <c r="AM13" s="377"/>
      <c r="AN13" s="377"/>
      <c r="AO13" s="377"/>
      <c r="AP13" s="376"/>
      <c r="AQ13" s="376"/>
      <c r="AR13" s="377"/>
      <c r="AS13" s="377"/>
      <c r="AT13" s="377"/>
      <c r="AU13" s="376"/>
      <c r="AV13" s="376"/>
      <c r="AW13" s="377"/>
      <c r="AX13" s="377"/>
      <c r="AY13" s="377"/>
      <c r="AZ13" s="376"/>
      <c r="BA13" s="376"/>
      <c r="BB13" s="377"/>
      <c r="BC13" s="377"/>
      <c r="BD13" s="377"/>
      <c r="BE13" s="376"/>
      <c r="BF13" s="376"/>
      <c r="BG13" s="377"/>
      <c r="BH13" s="377"/>
      <c r="BI13" s="377"/>
      <c r="BJ13" s="376"/>
      <c r="BK13" s="376"/>
      <c r="BL13" s="377"/>
      <c r="BM13" s="377"/>
      <c r="BN13" s="377"/>
      <c r="BO13" s="376"/>
      <c r="BP13" s="376"/>
      <c r="BQ13" s="377"/>
      <c r="BR13" s="377"/>
      <c r="BS13" s="377"/>
      <c r="BT13" s="376"/>
      <c r="BU13" s="376"/>
      <c r="BV13" s="377"/>
      <c r="BW13" s="377"/>
      <c r="BX13" s="377"/>
      <c r="BY13" s="376"/>
      <c r="BZ13" s="376"/>
      <c r="CA13" s="377"/>
      <c r="CB13" s="377"/>
      <c r="CC13" s="377"/>
      <c r="CD13" s="376"/>
      <c r="CE13" s="376"/>
      <c r="CF13" s="377"/>
      <c r="CG13" s="377"/>
      <c r="CH13" s="377"/>
      <c r="CI13" s="376"/>
      <c r="CJ13" s="376"/>
      <c r="CK13" s="377"/>
      <c r="CL13" s="377"/>
      <c r="CM13" s="377"/>
      <c r="CN13" s="376"/>
      <c r="CO13" s="376"/>
      <c r="CP13" s="376"/>
      <c r="CQ13" s="377"/>
      <c r="CR13" s="376"/>
      <c r="CS13" s="376"/>
      <c r="CT13" s="377"/>
      <c r="CU13" s="377"/>
      <c r="CV13" s="377"/>
      <c r="CW13" s="377"/>
      <c r="CX13" s="377"/>
      <c r="CY13" s="377"/>
      <c r="CZ13" s="377"/>
      <c r="DA13" s="377"/>
      <c r="DB13" s="377"/>
      <c r="DC13" s="377"/>
      <c r="DD13" s="377"/>
      <c r="DE13" s="377"/>
      <c r="DF13" s="376"/>
      <c r="DG13" s="376"/>
      <c r="DH13" s="377"/>
      <c r="DI13" s="377"/>
      <c r="DJ13" s="376"/>
      <c r="DK13" s="376"/>
      <c r="DL13" s="377"/>
      <c r="DM13" s="377"/>
      <c r="DN13" s="376"/>
      <c r="DO13" s="377"/>
      <c r="DP13" s="376"/>
      <c r="DQ13" s="376"/>
      <c r="DR13" s="376"/>
      <c r="DS13" s="379"/>
      <c r="DT13" s="379"/>
      <c r="DU13" s="373">
        <v>13</v>
      </c>
    </row>
    <row r="14" spans="1:168" x14ac:dyDescent="0.2">
      <c r="A14" s="374" t="s">
        <v>886</v>
      </c>
      <c r="E14" s="376"/>
      <c r="F14" s="376"/>
      <c r="G14" s="377"/>
      <c r="H14" s="377"/>
      <c r="I14" s="377"/>
      <c r="J14" s="377"/>
      <c r="K14" s="377"/>
      <c r="L14" s="377"/>
      <c r="M14" s="377"/>
      <c r="N14" s="377"/>
      <c r="O14" s="377"/>
      <c r="P14" s="377"/>
      <c r="Q14" s="377"/>
      <c r="R14" s="377"/>
      <c r="S14" s="377"/>
      <c r="T14" s="377"/>
      <c r="U14" s="376"/>
      <c r="V14" s="378"/>
      <c r="W14" s="378"/>
      <c r="X14" s="376"/>
      <c r="Y14" s="376"/>
      <c r="Z14" s="377"/>
      <c r="AA14" s="377"/>
      <c r="AB14" s="376"/>
      <c r="AC14" s="376"/>
      <c r="AD14" s="377"/>
      <c r="AE14" s="376"/>
      <c r="AF14" s="376"/>
      <c r="AG14" s="376"/>
      <c r="AH14" s="377"/>
      <c r="AI14" s="377"/>
      <c r="AJ14" s="377"/>
      <c r="AK14" s="376"/>
      <c r="AL14" s="376"/>
      <c r="AM14" s="377"/>
      <c r="AN14" s="377"/>
      <c r="AO14" s="377"/>
      <c r="AP14" s="376"/>
      <c r="AQ14" s="376"/>
      <c r="AR14" s="377"/>
      <c r="AS14" s="377"/>
      <c r="AT14" s="377"/>
      <c r="AU14" s="376"/>
      <c r="AV14" s="376"/>
      <c r="AW14" s="377"/>
      <c r="AX14" s="377"/>
      <c r="AY14" s="377"/>
      <c r="AZ14" s="376"/>
      <c r="BA14" s="376"/>
      <c r="BB14" s="377"/>
      <c r="BC14" s="377"/>
      <c r="BD14" s="377"/>
      <c r="BE14" s="376"/>
      <c r="BF14" s="376"/>
      <c r="BG14" s="377"/>
      <c r="BH14" s="377"/>
      <c r="BI14" s="377"/>
      <c r="BJ14" s="376"/>
      <c r="BK14" s="376"/>
      <c r="BL14" s="377"/>
      <c r="BM14" s="377"/>
      <c r="BN14" s="377"/>
      <c r="BO14" s="376"/>
      <c r="BP14" s="376"/>
      <c r="BQ14" s="377"/>
      <c r="BR14" s="377"/>
      <c r="BS14" s="377"/>
      <c r="BT14" s="376"/>
      <c r="BU14" s="376"/>
      <c r="BV14" s="377"/>
      <c r="BW14" s="377"/>
      <c r="BX14" s="377"/>
      <c r="BY14" s="376"/>
      <c r="BZ14" s="376"/>
      <c r="CA14" s="377"/>
      <c r="CB14" s="377"/>
      <c r="CC14" s="377"/>
      <c r="CD14" s="376"/>
      <c r="CE14" s="376"/>
      <c r="CF14" s="377"/>
      <c r="CG14" s="377"/>
      <c r="CH14" s="377"/>
      <c r="CI14" s="376"/>
      <c r="CJ14" s="376"/>
      <c r="CK14" s="377"/>
      <c r="CL14" s="377"/>
      <c r="CM14" s="377"/>
      <c r="CN14" s="376"/>
      <c r="CO14" s="376"/>
      <c r="CP14" s="376"/>
      <c r="CQ14" s="377"/>
      <c r="CR14" s="376"/>
      <c r="CS14" s="376"/>
      <c r="CT14" s="377"/>
      <c r="CU14" s="377"/>
      <c r="CV14" s="377"/>
      <c r="CW14" s="377"/>
      <c r="CX14" s="377"/>
      <c r="CY14" s="377"/>
      <c r="CZ14" s="377"/>
      <c r="DA14" s="377"/>
      <c r="DB14" s="377"/>
      <c r="DC14" s="377"/>
      <c r="DD14" s="377"/>
      <c r="DE14" s="377"/>
      <c r="DF14" s="376"/>
      <c r="DG14" s="376"/>
      <c r="DH14" s="377"/>
      <c r="DI14" s="377"/>
      <c r="DJ14" s="376"/>
      <c r="DK14" s="376"/>
      <c r="DL14" s="377"/>
      <c r="DM14" s="377"/>
      <c r="DN14" s="376"/>
      <c r="DO14" s="377"/>
      <c r="DP14" s="376"/>
      <c r="DQ14" s="376"/>
      <c r="DR14" s="376"/>
      <c r="DS14" s="379"/>
      <c r="DT14" s="379"/>
      <c r="DU14" s="373">
        <v>14</v>
      </c>
    </row>
    <row r="15" spans="1:168" x14ac:dyDescent="0.2">
      <c r="A15" s="374" t="s">
        <v>946</v>
      </c>
      <c r="E15" s="376"/>
      <c r="F15" s="376"/>
      <c r="G15" s="377"/>
      <c r="H15" s="377"/>
      <c r="I15" s="377"/>
      <c r="J15" s="377"/>
      <c r="K15" s="377"/>
      <c r="L15" s="377"/>
      <c r="M15" s="377"/>
      <c r="N15" s="377"/>
      <c r="O15" s="377"/>
      <c r="P15" s="377"/>
      <c r="Q15" s="377"/>
      <c r="R15" s="377"/>
      <c r="S15" s="377"/>
      <c r="T15" s="377"/>
      <c r="U15" s="376"/>
      <c r="V15" s="378"/>
      <c r="W15" s="378"/>
      <c r="X15" s="376"/>
      <c r="Y15" s="376"/>
      <c r="Z15" s="377"/>
      <c r="AA15" s="377"/>
      <c r="AB15" s="376"/>
      <c r="AC15" s="376"/>
      <c r="AD15" s="377"/>
      <c r="AE15" s="376"/>
      <c r="AF15" s="376"/>
      <c r="AG15" s="376"/>
      <c r="AH15" s="377"/>
      <c r="AI15" s="377"/>
      <c r="AJ15" s="377"/>
      <c r="AK15" s="376"/>
      <c r="AL15" s="376"/>
      <c r="AM15" s="377"/>
      <c r="AN15" s="377"/>
      <c r="AO15" s="377"/>
      <c r="AP15" s="376"/>
      <c r="AQ15" s="376"/>
      <c r="AR15" s="377"/>
      <c r="AS15" s="377"/>
      <c r="AT15" s="377"/>
      <c r="AU15" s="376"/>
      <c r="AV15" s="376"/>
      <c r="AW15" s="377"/>
      <c r="AX15" s="377"/>
      <c r="AY15" s="377"/>
      <c r="AZ15" s="376"/>
      <c r="BA15" s="376"/>
      <c r="BB15" s="377"/>
      <c r="BC15" s="377"/>
      <c r="BD15" s="377"/>
      <c r="BE15" s="376"/>
      <c r="BF15" s="376"/>
      <c r="BG15" s="377"/>
      <c r="BH15" s="377"/>
      <c r="BI15" s="377"/>
      <c r="BJ15" s="376"/>
      <c r="BK15" s="376"/>
      <c r="BL15" s="377"/>
      <c r="BM15" s="377"/>
      <c r="BN15" s="377"/>
      <c r="BO15" s="376"/>
      <c r="BP15" s="376"/>
      <c r="BQ15" s="377"/>
      <c r="BR15" s="377"/>
      <c r="BS15" s="377"/>
      <c r="BT15" s="376"/>
      <c r="BU15" s="376"/>
      <c r="BV15" s="377"/>
      <c r="BW15" s="377"/>
      <c r="BX15" s="377"/>
      <c r="BY15" s="376"/>
      <c r="BZ15" s="376"/>
      <c r="CA15" s="377"/>
      <c r="CB15" s="377"/>
      <c r="CC15" s="377"/>
      <c r="CD15" s="376"/>
      <c r="CE15" s="376"/>
      <c r="CF15" s="377"/>
      <c r="CG15" s="377"/>
      <c r="CH15" s="377"/>
      <c r="CI15" s="376"/>
      <c r="CJ15" s="376"/>
      <c r="CK15" s="377"/>
      <c r="CL15" s="377"/>
      <c r="CM15" s="377"/>
      <c r="CN15" s="376"/>
      <c r="CO15" s="376"/>
      <c r="CP15" s="376"/>
      <c r="CQ15" s="377"/>
      <c r="CR15" s="376"/>
      <c r="CS15" s="376"/>
      <c r="CT15" s="377"/>
      <c r="CU15" s="377"/>
      <c r="CV15" s="377"/>
      <c r="CW15" s="377"/>
      <c r="CX15" s="377"/>
      <c r="CY15" s="377"/>
      <c r="CZ15" s="377"/>
      <c r="DA15" s="377"/>
      <c r="DB15" s="377"/>
      <c r="DC15" s="377"/>
      <c r="DD15" s="377"/>
      <c r="DE15" s="377"/>
      <c r="DF15" s="376"/>
      <c r="DG15" s="376"/>
      <c r="DH15" s="377"/>
      <c r="DI15" s="377"/>
      <c r="DJ15" s="376"/>
      <c r="DK15" s="376"/>
      <c r="DL15" s="377"/>
      <c r="DM15" s="377"/>
      <c r="DN15" s="376"/>
      <c r="DO15" s="377"/>
      <c r="DP15" s="376"/>
      <c r="DQ15" s="376"/>
      <c r="DR15" s="376"/>
      <c r="DS15" s="379"/>
      <c r="DT15" s="379"/>
      <c r="DU15" s="373">
        <v>15</v>
      </c>
    </row>
    <row r="16" spans="1:168" x14ac:dyDescent="0.2">
      <c r="A16" s="374" t="s">
        <v>880</v>
      </c>
      <c r="E16" s="376"/>
      <c r="F16" s="376"/>
      <c r="G16" s="377"/>
      <c r="H16" s="377"/>
      <c r="I16" s="377"/>
      <c r="J16" s="377"/>
      <c r="K16" s="377"/>
      <c r="L16" s="377"/>
      <c r="M16" s="377"/>
      <c r="N16" s="377"/>
      <c r="O16" s="377"/>
      <c r="P16" s="377"/>
      <c r="Q16" s="377"/>
      <c r="R16" s="377"/>
      <c r="S16" s="377"/>
      <c r="T16" s="377"/>
      <c r="U16" s="376"/>
      <c r="V16" s="378"/>
      <c r="W16" s="378"/>
      <c r="X16" s="376"/>
      <c r="Y16" s="376"/>
      <c r="Z16" s="377"/>
      <c r="AA16" s="377"/>
      <c r="AB16" s="376"/>
      <c r="AC16" s="376"/>
      <c r="AD16" s="377"/>
      <c r="AE16" s="376"/>
      <c r="AF16" s="376"/>
      <c r="AG16" s="376"/>
      <c r="AH16" s="377"/>
      <c r="AI16" s="377"/>
      <c r="AJ16" s="377"/>
      <c r="AK16" s="376"/>
      <c r="AL16" s="376"/>
      <c r="AM16" s="377"/>
      <c r="AN16" s="377"/>
      <c r="AO16" s="377"/>
      <c r="AP16" s="376"/>
      <c r="AQ16" s="376"/>
      <c r="AR16" s="377"/>
      <c r="AS16" s="377"/>
      <c r="AT16" s="377"/>
      <c r="AU16" s="376"/>
      <c r="AV16" s="376"/>
      <c r="AW16" s="377"/>
      <c r="AX16" s="377"/>
      <c r="AY16" s="377"/>
      <c r="AZ16" s="376"/>
      <c r="BA16" s="376"/>
      <c r="BB16" s="377"/>
      <c r="BC16" s="377"/>
      <c r="BD16" s="377"/>
      <c r="BE16" s="376"/>
      <c r="BF16" s="376"/>
      <c r="BG16" s="377"/>
      <c r="BH16" s="377"/>
      <c r="BI16" s="377"/>
      <c r="BJ16" s="376"/>
      <c r="BK16" s="376"/>
      <c r="BL16" s="377"/>
      <c r="BM16" s="377"/>
      <c r="BN16" s="377"/>
      <c r="BO16" s="376"/>
      <c r="BP16" s="376"/>
      <c r="BQ16" s="377"/>
      <c r="BR16" s="377"/>
      <c r="BS16" s="377"/>
      <c r="BT16" s="376"/>
      <c r="BU16" s="376"/>
      <c r="BV16" s="377"/>
      <c r="BW16" s="377"/>
      <c r="BX16" s="377"/>
      <c r="BY16" s="376"/>
      <c r="BZ16" s="376"/>
      <c r="CA16" s="377"/>
      <c r="CB16" s="377"/>
      <c r="CC16" s="377"/>
      <c r="CD16" s="376"/>
      <c r="CE16" s="376"/>
      <c r="CF16" s="377"/>
      <c r="CG16" s="377"/>
      <c r="CH16" s="377"/>
      <c r="CI16" s="376"/>
      <c r="CJ16" s="376"/>
      <c r="CK16" s="377"/>
      <c r="CL16" s="377"/>
      <c r="CM16" s="377"/>
      <c r="CN16" s="376"/>
      <c r="CO16" s="376"/>
      <c r="CP16" s="376"/>
      <c r="CQ16" s="377"/>
      <c r="CR16" s="376"/>
      <c r="CS16" s="376"/>
      <c r="CT16" s="377"/>
      <c r="CU16" s="377"/>
      <c r="CV16" s="377"/>
      <c r="CW16" s="377"/>
      <c r="CX16" s="377"/>
      <c r="CY16" s="377"/>
      <c r="CZ16" s="377"/>
      <c r="DA16" s="377"/>
      <c r="DB16" s="377"/>
      <c r="DC16" s="377"/>
      <c r="DD16" s="377"/>
      <c r="DE16" s="377"/>
      <c r="DF16" s="376"/>
      <c r="DG16" s="376"/>
      <c r="DH16" s="377"/>
      <c r="DI16" s="377"/>
      <c r="DJ16" s="376"/>
      <c r="DK16" s="376"/>
      <c r="DL16" s="377"/>
      <c r="DM16" s="377"/>
      <c r="DN16" s="376"/>
      <c r="DO16" s="377"/>
      <c r="DP16" s="376"/>
      <c r="DQ16" s="376"/>
      <c r="DR16" s="376"/>
      <c r="DS16" s="379"/>
      <c r="DT16" s="379"/>
      <c r="DU16" s="373">
        <v>16</v>
      </c>
    </row>
    <row r="17" spans="1:125" x14ac:dyDescent="0.2">
      <c r="A17" s="374"/>
      <c r="E17" s="376"/>
      <c r="F17" s="376"/>
      <c r="G17" s="377"/>
      <c r="H17" s="377"/>
      <c r="I17" s="377"/>
      <c r="J17" s="377"/>
      <c r="K17" s="377"/>
      <c r="L17" s="377"/>
      <c r="M17" s="377"/>
      <c r="N17" s="377"/>
      <c r="O17" s="377"/>
      <c r="P17" s="377"/>
      <c r="Q17" s="377"/>
      <c r="R17" s="377"/>
      <c r="S17" s="377"/>
      <c r="T17" s="377"/>
      <c r="U17" s="376"/>
      <c r="V17" s="378"/>
      <c r="W17" s="378"/>
      <c r="X17" s="376"/>
      <c r="Y17" s="376"/>
      <c r="Z17" s="377"/>
      <c r="AA17" s="377"/>
      <c r="AB17" s="376"/>
      <c r="AC17" s="376"/>
      <c r="AD17" s="377"/>
      <c r="AE17" s="376"/>
      <c r="AF17" s="376"/>
      <c r="AG17" s="376"/>
      <c r="AH17" s="377"/>
      <c r="AI17" s="377"/>
      <c r="AJ17" s="377"/>
      <c r="AK17" s="376"/>
      <c r="AL17" s="376"/>
      <c r="AM17" s="377"/>
      <c r="AN17" s="377"/>
      <c r="AO17" s="377"/>
      <c r="AP17" s="376"/>
      <c r="AQ17" s="376"/>
      <c r="AR17" s="377"/>
      <c r="AS17" s="377"/>
      <c r="AT17" s="377"/>
      <c r="AU17" s="376"/>
      <c r="AV17" s="376"/>
      <c r="AW17" s="377"/>
      <c r="AX17" s="377"/>
      <c r="AY17" s="377"/>
      <c r="AZ17" s="376"/>
      <c r="BA17" s="376"/>
      <c r="BB17" s="377"/>
      <c r="BC17" s="377"/>
      <c r="BD17" s="377"/>
      <c r="BE17" s="376"/>
      <c r="BF17" s="376"/>
      <c r="BG17" s="377"/>
      <c r="BH17" s="377"/>
      <c r="BI17" s="377"/>
      <c r="BJ17" s="376"/>
      <c r="BK17" s="376"/>
      <c r="BL17" s="377"/>
      <c r="BM17" s="377"/>
      <c r="BN17" s="377"/>
      <c r="BO17" s="376"/>
      <c r="BP17" s="376"/>
      <c r="BQ17" s="377"/>
      <c r="BR17" s="377"/>
      <c r="BS17" s="377"/>
      <c r="BT17" s="376"/>
      <c r="BU17" s="376"/>
      <c r="BV17" s="377"/>
      <c r="BW17" s="377"/>
      <c r="BX17" s="377"/>
      <c r="BY17" s="376"/>
      <c r="BZ17" s="376"/>
      <c r="CA17" s="377"/>
      <c r="CB17" s="377"/>
      <c r="CC17" s="377"/>
      <c r="CD17" s="376"/>
      <c r="CE17" s="376"/>
      <c r="CF17" s="377"/>
      <c r="CG17" s="377"/>
      <c r="CH17" s="377"/>
      <c r="CI17" s="376"/>
      <c r="CJ17" s="376"/>
      <c r="CK17" s="377"/>
      <c r="CL17" s="377"/>
      <c r="CM17" s="377"/>
      <c r="CN17" s="376"/>
      <c r="CO17" s="376"/>
      <c r="CP17" s="376"/>
      <c r="CQ17" s="377"/>
      <c r="CR17" s="376"/>
      <c r="CS17" s="376"/>
      <c r="CT17" s="377"/>
      <c r="CU17" s="377"/>
      <c r="CV17" s="377"/>
      <c r="CW17" s="377"/>
      <c r="CX17" s="377"/>
      <c r="CY17" s="377"/>
      <c r="CZ17" s="377"/>
      <c r="DA17" s="377"/>
      <c r="DB17" s="377"/>
      <c r="DC17" s="377"/>
      <c r="DD17" s="377"/>
      <c r="DE17" s="377"/>
      <c r="DF17" s="376"/>
      <c r="DG17" s="376"/>
      <c r="DH17" s="377"/>
      <c r="DI17" s="377"/>
      <c r="DJ17" s="376"/>
      <c r="DK17" s="376"/>
      <c r="DL17" s="377"/>
      <c r="DM17" s="377"/>
      <c r="DN17" s="376"/>
      <c r="DO17" s="377"/>
      <c r="DP17" s="376"/>
      <c r="DQ17" s="376"/>
      <c r="DR17" s="376"/>
      <c r="DS17" s="379"/>
      <c r="DT17" s="379"/>
      <c r="DU17" s="373">
        <v>17</v>
      </c>
    </row>
    <row r="18" spans="1:125" x14ac:dyDescent="0.2">
      <c r="A18" s="370" t="s">
        <v>872</v>
      </c>
      <c r="E18" s="376"/>
      <c r="F18" s="376"/>
      <c r="G18" s="377"/>
      <c r="H18" s="377"/>
      <c r="I18" s="377"/>
      <c r="J18" s="377"/>
      <c r="K18" s="377"/>
      <c r="L18" s="377"/>
      <c r="M18" s="377"/>
      <c r="N18" s="377"/>
      <c r="O18" s="377"/>
      <c r="P18" s="377"/>
      <c r="Q18" s="377"/>
      <c r="R18" s="377"/>
      <c r="S18" s="377"/>
      <c r="T18" s="377"/>
      <c r="U18" s="376"/>
      <c r="V18" s="378"/>
      <c r="W18" s="378"/>
      <c r="X18" s="376"/>
      <c r="Y18" s="376"/>
      <c r="Z18" s="377"/>
      <c r="AA18" s="377"/>
      <c r="AB18" s="376"/>
      <c r="AC18" s="376"/>
      <c r="AD18" s="377"/>
      <c r="AE18" s="376"/>
      <c r="AF18" s="376"/>
      <c r="AG18" s="376"/>
      <c r="AH18" s="377"/>
      <c r="AI18" s="377"/>
      <c r="AJ18" s="377"/>
      <c r="AK18" s="376"/>
      <c r="AL18" s="376"/>
      <c r="AM18" s="377"/>
      <c r="AN18" s="377"/>
      <c r="AO18" s="377"/>
      <c r="AP18" s="376"/>
      <c r="AQ18" s="376"/>
      <c r="AR18" s="377"/>
      <c r="AS18" s="377"/>
      <c r="AT18" s="377"/>
      <c r="AU18" s="376"/>
      <c r="AV18" s="376"/>
      <c r="AW18" s="377"/>
      <c r="AX18" s="377"/>
      <c r="AY18" s="377"/>
      <c r="AZ18" s="376"/>
      <c r="BA18" s="376"/>
      <c r="BB18" s="377"/>
      <c r="BC18" s="377"/>
      <c r="BD18" s="377"/>
      <c r="BE18" s="376"/>
      <c r="BF18" s="376"/>
      <c r="BG18" s="377"/>
      <c r="BH18" s="377"/>
      <c r="BI18" s="377"/>
      <c r="BJ18" s="376"/>
      <c r="BK18" s="376"/>
      <c r="BL18" s="377"/>
      <c r="BM18" s="377"/>
      <c r="BN18" s="377"/>
      <c r="BO18" s="376"/>
      <c r="BP18" s="376"/>
      <c r="BQ18" s="377"/>
      <c r="BR18" s="377"/>
      <c r="BS18" s="377"/>
      <c r="BT18" s="376"/>
      <c r="BU18" s="376"/>
      <c r="BV18" s="377"/>
      <c r="BW18" s="377"/>
      <c r="BX18" s="377"/>
      <c r="BY18" s="376"/>
      <c r="BZ18" s="376"/>
      <c r="CA18" s="377"/>
      <c r="CB18" s="377"/>
      <c r="CC18" s="377"/>
      <c r="CD18" s="376"/>
      <c r="CE18" s="376"/>
      <c r="CF18" s="377"/>
      <c r="CG18" s="377"/>
      <c r="CH18" s="377"/>
      <c r="CI18" s="376"/>
      <c r="CJ18" s="376"/>
      <c r="CK18" s="377"/>
      <c r="CL18" s="377"/>
      <c r="CM18" s="377"/>
      <c r="CN18" s="376"/>
      <c r="CO18" s="376"/>
      <c r="CP18" s="376"/>
      <c r="CQ18" s="377"/>
      <c r="CR18" s="376"/>
      <c r="CS18" s="376"/>
      <c r="CT18" s="377"/>
      <c r="CU18" s="377"/>
      <c r="CV18" s="377"/>
      <c r="CW18" s="377"/>
      <c r="CX18" s="377"/>
      <c r="CY18" s="377"/>
      <c r="CZ18" s="377"/>
      <c r="DA18" s="377"/>
      <c r="DB18" s="377"/>
      <c r="DC18" s="377"/>
      <c r="DD18" s="377"/>
      <c r="DE18" s="377"/>
      <c r="DF18" s="376"/>
      <c r="DG18" s="376"/>
      <c r="DH18" s="377"/>
      <c r="DI18" s="377"/>
      <c r="DJ18" s="376"/>
      <c r="DK18" s="376"/>
      <c r="DL18" s="377"/>
      <c r="DM18" s="377"/>
      <c r="DN18" s="376"/>
      <c r="DO18" s="377"/>
      <c r="DP18" s="376"/>
      <c r="DQ18" s="376"/>
      <c r="DR18" s="376"/>
      <c r="DS18" s="379"/>
      <c r="DT18" s="379"/>
      <c r="DU18" s="373">
        <v>18</v>
      </c>
    </row>
    <row r="19" spans="1:125" x14ac:dyDescent="0.2">
      <c r="A19" s="374" t="s">
        <v>873</v>
      </c>
      <c r="E19" s="376"/>
      <c r="F19" s="376"/>
      <c r="G19" s="377"/>
      <c r="H19" s="377"/>
      <c r="I19" s="377"/>
      <c r="J19" s="377"/>
      <c r="K19" s="377"/>
      <c r="L19" s="377"/>
      <c r="M19" s="377"/>
      <c r="N19" s="377"/>
      <c r="O19" s="377"/>
      <c r="P19" s="377"/>
      <c r="Q19" s="377"/>
      <c r="R19" s="377"/>
      <c r="S19" s="377"/>
      <c r="T19" s="377"/>
      <c r="U19" s="376"/>
      <c r="V19" s="378"/>
      <c r="W19" s="378"/>
      <c r="X19" s="376"/>
      <c r="Y19" s="376"/>
      <c r="Z19" s="377"/>
      <c r="AA19" s="377"/>
      <c r="AB19" s="376"/>
      <c r="AC19" s="376"/>
      <c r="AD19" s="377"/>
      <c r="AE19" s="376"/>
      <c r="AF19" s="376"/>
      <c r="AG19" s="376"/>
      <c r="AH19" s="377"/>
      <c r="AI19" s="377"/>
      <c r="AJ19" s="377"/>
      <c r="AK19" s="376"/>
      <c r="AL19" s="376"/>
      <c r="AM19" s="377"/>
      <c r="AN19" s="377"/>
      <c r="AO19" s="377"/>
      <c r="AP19" s="376"/>
      <c r="AQ19" s="376"/>
      <c r="AR19" s="377"/>
      <c r="AS19" s="377"/>
      <c r="AT19" s="377"/>
      <c r="AU19" s="376"/>
      <c r="AV19" s="376"/>
      <c r="AW19" s="377"/>
      <c r="AX19" s="377"/>
      <c r="AY19" s="377"/>
      <c r="AZ19" s="376"/>
      <c r="BA19" s="376"/>
      <c r="BB19" s="377"/>
      <c r="BC19" s="377"/>
      <c r="BD19" s="377"/>
      <c r="BE19" s="376"/>
      <c r="BF19" s="376"/>
      <c r="BG19" s="377"/>
      <c r="BH19" s="377"/>
      <c r="BI19" s="377"/>
      <c r="BJ19" s="376"/>
      <c r="BK19" s="376"/>
      <c r="BL19" s="377"/>
      <c r="BM19" s="377"/>
      <c r="BN19" s="377"/>
      <c r="BO19" s="376"/>
      <c r="BP19" s="376"/>
      <c r="BQ19" s="377"/>
      <c r="BR19" s="377"/>
      <c r="BS19" s="377"/>
      <c r="BT19" s="376"/>
      <c r="BU19" s="376"/>
      <c r="BV19" s="377"/>
      <c r="BW19" s="377"/>
      <c r="BX19" s="377"/>
      <c r="BY19" s="376"/>
      <c r="BZ19" s="376"/>
      <c r="CA19" s="377"/>
      <c r="CB19" s="377"/>
      <c r="CC19" s="377"/>
      <c r="CD19" s="376"/>
      <c r="CE19" s="376"/>
      <c r="CF19" s="377"/>
      <c r="CG19" s="377"/>
      <c r="CH19" s="377"/>
      <c r="CI19" s="376"/>
      <c r="CJ19" s="376"/>
      <c r="CK19" s="377"/>
      <c r="CL19" s="377"/>
      <c r="CM19" s="377"/>
      <c r="CN19" s="376"/>
      <c r="CO19" s="376"/>
      <c r="CP19" s="376"/>
      <c r="CQ19" s="377"/>
      <c r="CR19" s="376"/>
      <c r="CS19" s="376"/>
      <c r="CT19" s="377"/>
      <c r="CU19" s="377"/>
      <c r="CV19" s="377"/>
      <c r="CW19" s="377"/>
      <c r="CX19" s="377"/>
      <c r="CY19" s="377"/>
      <c r="CZ19" s="377"/>
      <c r="DA19" s="377"/>
      <c r="DB19" s="377"/>
      <c r="DC19" s="377"/>
      <c r="DD19" s="377"/>
      <c r="DE19" s="377"/>
      <c r="DF19" s="376"/>
      <c r="DG19" s="376"/>
      <c r="DH19" s="377"/>
      <c r="DI19" s="377"/>
      <c r="DJ19" s="376"/>
      <c r="DK19" s="376"/>
      <c r="DL19" s="377"/>
      <c r="DM19" s="377"/>
      <c r="DN19" s="376"/>
      <c r="DO19" s="377"/>
      <c r="DP19" s="376"/>
      <c r="DQ19" s="376"/>
      <c r="DR19" s="376"/>
      <c r="DS19" s="379"/>
      <c r="DT19" s="379"/>
      <c r="DU19" s="373">
        <v>19</v>
      </c>
    </row>
    <row r="20" spans="1:125" x14ac:dyDescent="0.2">
      <c r="A20" s="374" t="s">
        <v>874</v>
      </c>
      <c r="E20" s="376"/>
      <c r="F20" s="376"/>
      <c r="G20" s="377"/>
      <c r="H20" s="377"/>
      <c r="I20" s="377"/>
      <c r="J20" s="377"/>
      <c r="K20" s="377"/>
      <c r="L20" s="377"/>
      <c r="M20" s="377"/>
      <c r="N20" s="377"/>
      <c r="O20" s="377"/>
      <c r="P20" s="377"/>
      <c r="Q20" s="377"/>
      <c r="R20" s="377"/>
      <c r="S20" s="377"/>
      <c r="T20" s="377"/>
      <c r="U20" s="376"/>
      <c r="V20" s="378"/>
      <c r="W20" s="378"/>
      <c r="X20" s="376"/>
      <c r="Y20" s="376"/>
      <c r="Z20" s="377"/>
      <c r="AA20" s="377"/>
      <c r="AB20" s="376"/>
      <c r="AC20" s="376"/>
      <c r="AD20" s="377"/>
      <c r="AE20" s="376"/>
      <c r="AF20" s="376"/>
      <c r="AG20" s="376"/>
      <c r="AH20" s="377"/>
      <c r="AI20" s="377"/>
      <c r="AJ20" s="377"/>
      <c r="AK20" s="376"/>
      <c r="AL20" s="376"/>
      <c r="AM20" s="377"/>
      <c r="AN20" s="377"/>
      <c r="AO20" s="377"/>
      <c r="AP20" s="376"/>
      <c r="AQ20" s="376"/>
      <c r="AR20" s="377"/>
      <c r="AS20" s="377"/>
      <c r="AT20" s="377"/>
      <c r="AU20" s="376"/>
      <c r="AV20" s="376"/>
      <c r="AW20" s="377"/>
      <c r="AX20" s="377"/>
      <c r="AY20" s="377"/>
      <c r="AZ20" s="376"/>
      <c r="BA20" s="376"/>
      <c r="BB20" s="377"/>
      <c r="BC20" s="377"/>
      <c r="BD20" s="377"/>
      <c r="BE20" s="376"/>
      <c r="BF20" s="376"/>
      <c r="BG20" s="377"/>
      <c r="BH20" s="377"/>
      <c r="BI20" s="377"/>
      <c r="BJ20" s="376"/>
      <c r="BK20" s="376"/>
      <c r="BL20" s="377"/>
      <c r="BM20" s="377"/>
      <c r="BN20" s="377"/>
      <c r="BO20" s="376"/>
      <c r="BP20" s="376"/>
      <c r="BQ20" s="377"/>
      <c r="BR20" s="377"/>
      <c r="BS20" s="377"/>
      <c r="BT20" s="376"/>
      <c r="BU20" s="376"/>
      <c r="BV20" s="377"/>
      <c r="BW20" s="377"/>
      <c r="BX20" s="377"/>
      <c r="BY20" s="376"/>
      <c r="BZ20" s="376"/>
      <c r="CA20" s="377"/>
      <c r="CB20" s="377"/>
      <c r="CC20" s="377"/>
      <c r="CD20" s="376"/>
      <c r="CE20" s="376"/>
      <c r="CF20" s="377"/>
      <c r="CG20" s="377"/>
      <c r="CH20" s="377"/>
      <c r="CI20" s="376"/>
      <c r="CJ20" s="376"/>
      <c r="CK20" s="377"/>
      <c r="CL20" s="377"/>
      <c r="CM20" s="377"/>
      <c r="CN20" s="376"/>
      <c r="CO20" s="376"/>
      <c r="CP20" s="376"/>
      <c r="CQ20" s="377"/>
      <c r="CR20" s="376"/>
      <c r="CS20" s="376"/>
      <c r="CT20" s="377"/>
      <c r="CU20" s="377"/>
      <c r="CV20" s="377"/>
      <c r="CW20" s="377"/>
      <c r="CX20" s="377"/>
      <c r="CY20" s="377"/>
      <c r="CZ20" s="377"/>
      <c r="DA20" s="377"/>
      <c r="DB20" s="377"/>
      <c r="DC20" s="377"/>
      <c r="DD20" s="377"/>
      <c r="DE20" s="377"/>
      <c r="DF20" s="376"/>
      <c r="DG20" s="376"/>
      <c r="DH20" s="377"/>
      <c r="DI20" s="377"/>
      <c r="DJ20" s="376"/>
      <c r="DK20" s="376"/>
      <c r="DL20" s="377"/>
      <c r="DM20" s="377"/>
      <c r="DN20" s="376"/>
      <c r="DO20" s="377"/>
      <c r="DP20" s="376"/>
      <c r="DQ20" s="376"/>
      <c r="DR20" s="376"/>
      <c r="DS20" s="379"/>
      <c r="DT20" s="379"/>
      <c r="DU20" s="373">
        <v>20</v>
      </c>
    </row>
    <row r="21" spans="1:125" x14ac:dyDescent="0.2">
      <c r="A21" s="374" t="s">
        <v>875</v>
      </c>
      <c r="E21" s="376"/>
      <c r="F21" s="376"/>
      <c r="G21" s="377"/>
      <c r="H21" s="377"/>
      <c r="I21" s="377"/>
      <c r="J21" s="377"/>
      <c r="K21" s="377"/>
      <c r="L21" s="377"/>
      <c r="M21" s="377"/>
      <c r="N21" s="377"/>
      <c r="O21" s="377"/>
      <c r="P21" s="377"/>
      <c r="Q21" s="377"/>
      <c r="R21" s="377"/>
      <c r="S21" s="377"/>
      <c r="T21" s="377"/>
      <c r="U21" s="376"/>
      <c r="V21" s="378"/>
      <c r="W21" s="378"/>
      <c r="X21" s="376"/>
      <c r="Y21" s="376"/>
      <c r="Z21" s="377"/>
      <c r="AA21" s="377"/>
      <c r="AB21" s="376"/>
      <c r="AC21" s="376"/>
      <c r="AD21" s="377"/>
      <c r="AE21" s="376"/>
      <c r="AF21" s="376"/>
      <c r="AG21" s="376"/>
      <c r="AH21" s="377"/>
      <c r="AI21" s="377"/>
      <c r="AJ21" s="377"/>
      <c r="AK21" s="376"/>
      <c r="AL21" s="376"/>
      <c r="AM21" s="377"/>
      <c r="AN21" s="377"/>
      <c r="AO21" s="377"/>
      <c r="AP21" s="376"/>
      <c r="AQ21" s="376"/>
      <c r="AR21" s="377"/>
      <c r="AS21" s="377"/>
      <c r="AT21" s="377"/>
      <c r="AU21" s="376"/>
      <c r="AV21" s="376"/>
      <c r="AW21" s="377"/>
      <c r="AX21" s="377"/>
      <c r="AY21" s="377"/>
      <c r="AZ21" s="376"/>
      <c r="BA21" s="376"/>
      <c r="BB21" s="377"/>
      <c r="BC21" s="377"/>
      <c r="BD21" s="377"/>
      <c r="BE21" s="376"/>
      <c r="BF21" s="376"/>
      <c r="BG21" s="377"/>
      <c r="BH21" s="377"/>
      <c r="BI21" s="377"/>
      <c r="BJ21" s="376"/>
      <c r="BK21" s="376"/>
      <c r="BL21" s="377"/>
      <c r="BM21" s="377"/>
      <c r="BN21" s="377"/>
      <c r="BO21" s="376"/>
      <c r="BP21" s="376"/>
      <c r="BQ21" s="377"/>
      <c r="BR21" s="377"/>
      <c r="BS21" s="377"/>
      <c r="BT21" s="376"/>
      <c r="BU21" s="376"/>
      <c r="BV21" s="377"/>
      <c r="BW21" s="377"/>
      <c r="BX21" s="377"/>
      <c r="BY21" s="376"/>
      <c r="BZ21" s="376"/>
      <c r="CA21" s="377"/>
      <c r="CB21" s="377"/>
      <c r="CC21" s="377"/>
      <c r="CD21" s="376"/>
      <c r="CE21" s="376"/>
      <c r="CF21" s="377"/>
      <c r="CG21" s="377"/>
      <c r="CH21" s="377"/>
      <c r="CI21" s="376"/>
      <c r="CJ21" s="376"/>
      <c r="CK21" s="377"/>
      <c r="CL21" s="377"/>
      <c r="CM21" s="377"/>
      <c r="CN21" s="376"/>
      <c r="CO21" s="376"/>
      <c r="CP21" s="376"/>
      <c r="CQ21" s="377"/>
      <c r="CR21" s="376"/>
      <c r="CS21" s="376"/>
      <c r="CT21" s="377"/>
      <c r="CU21" s="377"/>
      <c r="CV21" s="377"/>
      <c r="CW21" s="377"/>
      <c r="CX21" s="377"/>
      <c r="CY21" s="377"/>
      <c r="CZ21" s="377"/>
      <c r="DA21" s="377"/>
      <c r="DB21" s="377"/>
      <c r="DC21" s="377"/>
      <c r="DD21" s="377"/>
      <c r="DE21" s="377"/>
      <c r="DF21" s="376"/>
      <c r="DG21" s="376"/>
      <c r="DH21" s="377"/>
      <c r="DI21" s="377"/>
      <c r="DJ21" s="376"/>
      <c r="DK21" s="376"/>
      <c r="DL21" s="377"/>
      <c r="DM21" s="377"/>
      <c r="DN21" s="376"/>
      <c r="DO21" s="377"/>
      <c r="DP21" s="376"/>
      <c r="DQ21" s="376"/>
      <c r="DR21" s="376"/>
      <c r="DS21" s="379"/>
      <c r="DT21" s="379"/>
      <c r="DU21" s="373">
        <v>21</v>
      </c>
    </row>
    <row r="22" spans="1:125" x14ac:dyDescent="0.2">
      <c r="A22" s="374" t="s">
        <v>876</v>
      </c>
      <c r="E22" s="376"/>
      <c r="F22" s="376"/>
      <c r="G22" s="377"/>
      <c r="H22" s="377"/>
      <c r="I22" s="377"/>
      <c r="J22" s="377"/>
      <c r="K22" s="377"/>
      <c r="L22" s="377"/>
      <c r="M22" s="377"/>
      <c r="N22" s="377"/>
      <c r="O22" s="377"/>
      <c r="P22" s="377"/>
      <c r="Q22" s="377"/>
      <c r="R22" s="377"/>
      <c r="S22" s="377"/>
      <c r="T22" s="377"/>
      <c r="U22" s="376"/>
      <c r="V22" s="378"/>
      <c r="W22" s="378"/>
      <c r="X22" s="376"/>
      <c r="Y22" s="376"/>
      <c r="Z22" s="377"/>
      <c r="AA22" s="377"/>
      <c r="AB22" s="376"/>
      <c r="AC22" s="376"/>
      <c r="AD22" s="377"/>
      <c r="AE22" s="376"/>
      <c r="AF22" s="376"/>
      <c r="AG22" s="376"/>
      <c r="AH22" s="377"/>
      <c r="AI22" s="377"/>
      <c r="AJ22" s="377"/>
      <c r="AK22" s="376"/>
      <c r="AL22" s="376"/>
      <c r="AM22" s="377"/>
      <c r="AN22" s="377"/>
      <c r="AO22" s="377"/>
      <c r="AP22" s="376"/>
      <c r="AQ22" s="376"/>
      <c r="AR22" s="377"/>
      <c r="AS22" s="377"/>
      <c r="AT22" s="377"/>
      <c r="AU22" s="376"/>
      <c r="AV22" s="376"/>
      <c r="AW22" s="377"/>
      <c r="AX22" s="377"/>
      <c r="AY22" s="377"/>
      <c r="AZ22" s="376"/>
      <c r="BA22" s="376"/>
      <c r="BB22" s="377"/>
      <c r="BC22" s="377"/>
      <c r="BD22" s="377"/>
      <c r="BE22" s="376"/>
      <c r="BF22" s="376"/>
      <c r="BG22" s="377"/>
      <c r="BH22" s="377"/>
      <c r="BI22" s="377"/>
      <c r="BJ22" s="376"/>
      <c r="BK22" s="376"/>
      <c r="BL22" s="377"/>
      <c r="BM22" s="377"/>
      <c r="BN22" s="377"/>
      <c r="BO22" s="376"/>
      <c r="BP22" s="376"/>
      <c r="BQ22" s="377"/>
      <c r="BR22" s="377"/>
      <c r="BS22" s="377"/>
      <c r="BT22" s="376"/>
      <c r="BU22" s="376"/>
      <c r="BV22" s="377"/>
      <c r="BW22" s="377"/>
      <c r="BX22" s="377"/>
      <c r="BY22" s="376"/>
      <c r="BZ22" s="376"/>
      <c r="CA22" s="377"/>
      <c r="CB22" s="377"/>
      <c r="CC22" s="377"/>
      <c r="CD22" s="376"/>
      <c r="CE22" s="376"/>
      <c r="CF22" s="377"/>
      <c r="CG22" s="377"/>
      <c r="CH22" s="377"/>
      <c r="CI22" s="376"/>
      <c r="CJ22" s="376"/>
      <c r="CK22" s="377"/>
      <c r="CL22" s="377"/>
      <c r="CM22" s="377"/>
      <c r="CN22" s="376"/>
      <c r="CO22" s="376"/>
      <c r="CP22" s="376"/>
      <c r="CQ22" s="377"/>
      <c r="CR22" s="376"/>
      <c r="CS22" s="376"/>
      <c r="CT22" s="377"/>
      <c r="CU22" s="377"/>
      <c r="CV22" s="377"/>
      <c r="CW22" s="377"/>
      <c r="CX22" s="377"/>
      <c r="CY22" s="377"/>
      <c r="CZ22" s="377"/>
      <c r="DA22" s="377"/>
      <c r="DB22" s="377"/>
      <c r="DC22" s="377"/>
      <c r="DD22" s="377"/>
      <c r="DE22" s="377"/>
      <c r="DF22" s="376"/>
      <c r="DG22" s="376"/>
      <c r="DH22" s="377"/>
      <c r="DI22" s="377"/>
      <c r="DJ22" s="376"/>
      <c r="DK22" s="376"/>
      <c r="DL22" s="377"/>
      <c r="DM22" s="377"/>
      <c r="DN22" s="376"/>
      <c r="DO22" s="377"/>
      <c r="DP22" s="376"/>
      <c r="DQ22" s="376"/>
      <c r="DR22" s="376"/>
      <c r="DS22" s="379"/>
      <c r="DT22" s="379"/>
      <c r="DU22" s="373">
        <v>22</v>
      </c>
    </row>
    <row r="23" spans="1:125" x14ac:dyDescent="0.2">
      <c r="E23" s="376"/>
      <c r="F23" s="376"/>
      <c r="G23" s="377"/>
      <c r="H23" s="377"/>
      <c r="I23" s="377"/>
      <c r="J23" s="377"/>
      <c r="K23" s="377"/>
      <c r="L23" s="377"/>
      <c r="M23" s="377"/>
      <c r="N23" s="377"/>
      <c r="O23" s="377"/>
      <c r="P23" s="377"/>
      <c r="Q23" s="377"/>
      <c r="R23" s="377"/>
      <c r="S23" s="377"/>
      <c r="T23" s="377"/>
      <c r="U23" s="376"/>
      <c r="V23" s="378"/>
      <c r="W23" s="378"/>
      <c r="X23" s="376"/>
      <c r="Y23" s="376"/>
      <c r="Z23" s="377"/>
      <c r="AA23" s="377"/>
      <c r="AB23" s="376"/>
      <c r="AC23" s="376"/>
      <c r="AD23" s="377"/>
      <c r="AE23" s="376"/>
      <c r="AF23" s="376"/>
      <c r="AG23" s="376"/>
      <c r="AH23" s="377"/>
      <c r="AI23" s="377"/>
      <c r="AJ23" s="377"/>
      <c r="AK23" s="376"/>
      <c r="AL23" s="376"/>
      <c r="AM23" s="377"/>
      <c r="AN23" s="377"/>
      <c r="AO23" s="377"/>
      <c r="AP23" s="376"/>
      <c r="AQ23" s="376"/>
      <c r="AR23" s="377"/>
      <c r="AS23" s="377"/>
      <c r="AT23" s="377"/>
      <c r="AU23" s="376"/>
      <c r="AV23" s="376"/>
      <c r="AW23" s="377"/>
      <c r="AX23" s="377"/>
      <c r="AY23" s="377"/>
      <c r="AZ23" s="376"/>
      <c r="BA23" s="376"/>
      <c r="BB23" s="377"/>
      <c r="BC23" s="377"/>
      <c r="BD23" s="377"/>
      <c r="BE23" s="376"/>
      <c r="BF23" s="376"/>
      <c r="BG23" s="377"/>
      <c r="BH23" s="377"/>
      <c r="BI23" s="377"/>
      <c r="BJ23" s="376"/>
      <c r="BK23" s="376"/>
      <c r="BL23" s="377"/>
      <c r="BM23" s="377"/>
      <c r="BN23" s="377"/>
      <c r="BO23" s="376"/>
      <c r="BP23" s="376"/>
      <c r="BQ23" s="377"/>
      <c r="BR23" s="377"/>
      <c r="BS23" s="377"/>
      <c r="BT23" s="376"/>
      <c r="BU23" s="376"/>
      <c r="BV23" s="377"/>
      <c r="BW23" s="377"/>
      <c r="BX23" s="377"/>
      <c r="BY23" s="376"/>
      <c r="BZ23" s="376"/>
      <c r="CA23" s="377"/>
      <c r="CB23" s="377"/>
      <c r="CC23" s="377"/>
      <c r="CD23" s="376"/>
      <c r="CE23" s="376"/>
      <c r="CF23" s="377"/>
      <c r="CG23" s="377"/>
      <c r="CH23" s="377"/>
      <c r="CI23" s="376"/>
      <c r="CJ23" s="376"/>
      <c r="CK23" s="377"/>
      <c r="CL23" s="377"/>
      <c r="CM23" s="377"/>
      <c r="CN23" s="376"/>
      <c r="CO23" s="376"/>
      <c r="CP23" s="376"/>
      <c r="CQ23" s="377"/>
      <c r="CR23" s="376"/>
      <c r="CS23" s="376"/>
      <c r="CT23" s="377"/>
      <c r="CU23" s="377"/>
      <c r="CV23" s="377"/>
      <c r="CW23" s="377"/>
      <c r="CX23" s="377"/>
      <c r="CY23" s="377"/>
      <c r="CZ23" s="377"/>
      <c r="DA23" s="377"/>
      <c r="DB23" s="377"/>
      <c r="DC23" s="377"/>
      <c r="DD23" s="377"/>
      <c r="DE23" s="377"/>
      <c r="DF23" s="376"/>
      <c r="DG23" s="376"/>
      <c r="DH23" s="377"/>
      <c r="DI23" s="377"/>
      <c r="DJ23" s="376"/>
      <c r="DK23" s="376"/>
      <c r="DL23" s="377"/>
      <c r="DM23" s="377"/>
      <c r="DN23" s="376"/>
      <c r="DO23" s="377"/>
      <c r="DP23" s="376"/>
      <c r="DQ23" s="376"/>
      <c r="DR23" s="376"/>
      <c r="DS23" s="379"/>
      <c r="DT23" s="379"/>
      <c r="DU23" s="373">
        <v>23</v>
      </c>
    </row>
    <row r="24" spans="1:125" x14ac:dyDescent="0.2">
      <c r="A24" s="374"/>
      <c r="E24" s="376"/>
      <c r="F24" s="376"/>
      <c r="G24" s="377"/>
      <c r="H24" s="377"/>
      <c r="I24" s="377"/>
      <c r="J24" s="377"/>
      <c r="K24" s="377"/>
      <c r="L24" s="377"/>
      <c r="M24" s="377"/>
      <c r="N24" s="377"/>
      <c r="O24" s="377"/>
      <c r="P24" s="377"/>
      <c r="Q24" s="377"/>
      <c r="R24" s="377"/>
      <c r="S24" s="377"/>
      <c r="T24" s="377"/>
      <c r="U24" s="376"/>
      <c r="V24" s="378"/>
      <c r="W24" s="378"/>
      <c r="X24" s="376"/>
      <c r="Y24" s="376"/>
      <c r="Z24" s="377"/>
      <c r="AA24" s="377"/>
      <c r="AB24" s="376"/>
      <c r="AC24" s="376"/>
      <c r="AD24" s="377"/>
      <c r="AE24" s="376"/>
      <c r="AF24" s="376"/>
      <c r="AG24" s="376"/>
      <c r="AH24" s="377"/>
      <c r="AI24" s="377"/>
      <c r="AJ24" s="377"/>
      <c r="AK24" s="376"/>
      <c r="AL24" s="376"/>
      <c r="AM24" s="377"/>
      <c r="AN24" s="377"/>
      <c r="AO24" s="377"/>
      <c r="AP24" s="376"/>
      <c r="AQ24" s="376"/>
      <c r="AR24" s="377"/>
      <c r="AS24" s="377"/>
      <c r="AT24" s="377"/>
      <c r="AU24" s="376"/>
      <c r="AV24" s="376"/>
      <c r="AW24" s="377"/>
      <c r="AX24" s="377"/>
      <c r="AY24" s="377"/>
      <c r="AZ24" s="376"/>
      <c r="BA24" s="376"/>
      <c r="BB24" s="377"/>
      <c r="BC24" s="377"/>
      <c r="BD24" s="377"/>
      <c r="BE24" s="376"/>
      <c r="BF24" s="376"/>
      <c r="BG24" s="377"/>
      <c r="BH24" s="377"/>
      <c r="BI24" s="377"/>
      <c r="BJ24" s="376"/>
      <c r="BK24" s="376"/>
      <c r="BL24" s="377"/>
      <c r="BM24" s="377"/>
      <c r="BN24" s="377"/>
      <c r="BO24" s="376"/>
      <c r="BP24" s="376"/>
      <c r="BQ24" s="377"/>
      <c r="BR24" s="377"/>
      <c r="BS24" s="377"/>
      <c r="BT24" s="376"/>
      <c r="BU24" s="376"/>
      <c r="BV24" s="377"/>
      <c r="BW24" s="377"/>
      <c r="BX24" s="377"/>
      <c r="BY24" s="376"/>
      <c r="BZ24" s="376"/>
      <c r="CA24" s="377"/>
      <c r="CB24" s="377"/>
      <c r="CC24" s="377"/>
      <c r="CD24" s="376"/>
      <c r="CE24" s="376"/>
      <c r="CF24" s="377"/>
      <c r="CG24" s="377"/>
      <c r="CH24" s="377"/>
      <c r="CI24" s="376"/>
      <c r="CJ24" s="376"/>
      <c r="CK24" s="377"/>
      <c r="CL24" s="377"/>
      <c r="CM24" s="377"/>
      <c r="CN24" s="376"/>
      <c r="CO24" s="376"/>
      <c r="CP24" s="376"/>
      <c r="CQ24" s="377"/>
      <c r="CR24" s="376"/>
      <c r="CS24" s="376"/>
      <c r="CT24" s="377"/>
      <c r="CU24" s="377"/>
      <c r="CV24" s="377"/>
      <c r="CW24" s="377"/>
      <c r="CX24" s="377"/>
      <c r="CY24" s="377"/>
      <c r="CZ24" s="377"/>
      <c r="DA24" s="377"/>
      <c r="DB24" s="377"/>
      <c r="DC24" s="377"/>
      <c r="DD24" s="377"/>
      <c r="DE24" s="377"/>
      <c r="DF24" s="376"/>
      <c r="DG24" s="376"/>
      <c r="DH24" s="377"/>
      <c r="DI24" s="377"/>
      <c r="DJ24" s="376"/>
      <c r="DK24" s="376"/>
      <c r="DL24" s="377"/>
      <c r="DM24" s="377"/>
      <c r="DN24" s="376"/>
      <c r="DO24" s="377"/>
      <c r="DP24" s="376"/>
      <c r="DQ24" s="376"/>
      <c r="DR24" s="376"/>
      <c r="DS24" s="379"/>
      <c r="DT24" s="379"/>
      <c r="DU24" s="373">
        <v>24</v>
      </c>
    </row>
    <row r="25" spans="1:125" x14ac:dyDescent="0.2">
      <c r="A25" s="374"/>
      <c r="E25" s="376"/>
      <c r="F25" s="376"/>
      <c r="G25" s="377"/>
      <c r="H25" s="377"/>
      <c r="I25" s="377"/>
      <c r="J25" s="377"/>
      <c r="K25" s="377"/>
      <c r="L25" s="377"/>
      <c r="M25" s="377"/>
      <c r="N25" s="377"/>
      <c r="O25" s="377"/>
      <c r="P25" s="377"/>
      <c r="Q25" s="377"/>
      <c r="R25" s="377"/>
      <c r="S25" s="377"/>
      <c r="T25" s="377"/>
      <c r="U25" s="376"/>
      <c r="V25" s="378"/>
      <c r="W25" s="378"/>
      <c r="X25" s="376"/>
      <c r="Y25" s="376"/>
      <c r="Z25" s="377"/>
      <c r="AA25" s="377"/>
      <c r="AB25" s="376"/>
      <c r="AC25" s="376"/>
      <c r="AD25" s="377"/>
      <c r="AE25" s="376"/>
      <c r="AF25" s="376"/>
      <c r="AG25" s="376"/>
      <c r="AH25" s="377"/>
      <c r="AI25" s="377"/>
      <c r="AJ25" s="377"/>
      <c r="AK25" s="376"/>
      <c r="AL25" s="376"/>
      <c r="AM25" s="377"/>
      <c r="AN25" s="377"/>
      <c r="AO25" s="377"/>
      <c r="AP25" s="376"/>
      <c r="AQ25" s="376"/>
      <c r="AR25" s="377"/>
      <c r="AS25" s="377"/>
      <c r="AT25" s="377"/>
      <c r="AU25" s="376"/>
      <c r="AV25" s="376"/>
      <c r="AW25" s="377"/>
      <c r="AX25" s="377"/>
      <c r="AY25" s="377"/>
      <c r="AZ25" s="376"/>
      <c r="BA25" s="376"/>
      <c r="BB25" s="377"/>
      <c r="BC25" s="377"/>
      <c r="BD25" s="377"/>
      <c r="BE25" s="376"/>
      <c r="BF25" s="376"/>
      <c r="BG25" s="377"/>
      <c r="BH25" s="377"/>
      <c r="BI25" s="377"/>
      <c r="BJ25" s="376"/>
      <c r="BK25" s="376"/>
      <c r="BL25" s="377"/>
      <c r="BM25" s="377"/>
      <c r="BN25" s="377"/>
      <c r="BO25" s="376"/>
      <c r="BP25" s="376"/>
      <c r="BQ25" s="377"/>
      <c r="BR25" s="377"/>
      <c r="BS25" s="377"/>
      <c r="BT25" s="376"/>
      <c r="BU25" s="376"/>
      <c r="BV25" s="377"/>
      <c r="BW25" s="377"/>
      <c r="BX25" s="377"/>
      <c r="BY25" s="376"/>
      <c r="BZ25" s="376"/>
      <c r="CA25" s="377"/>
      <c r="CB25" s="377"/>
      <c r="CC25" s="377"/>
      <c r="CD25" s="376"/>
      <c r="CE25" s="376"/>
      <c r="CF25" s="377"/>
      <c r="CG25" s="377"/>
      <c r="CH25" s="377"/>
      <c r="CI25" s="376"/>
      <c r="CJ25" s="376"/>
      <c r="CK25" s="377"/>
      <c r="CL25" s="377"/>
      <c r="CM25" s="377"/>
      <c r="CN25" s="376"/>
      <c r="CO25" s="376"/>
      <c r="CP25" s="376"/>
      <c r="CQ25" s="377"/>
      <c r="CR25" s="376"/>
      <c r="CS25" s="376"/>
      <c r="CT25" s="377"/>
      <c r="CU25" s="377"/>
      <c r="CV25" s="377"/>
      <c r="CW25" s="377"/>
      <c r="CX25" s="377"/>
      <c r="CY25" s="377"/>
      <c r="CZ25" s="377"/>
      <c r="DA25" s="377"/>
      <c r="DB25" s="377"/>
      <c r="DC25" s="377"/>
      <c r="DD25" s="377"/>
      <c r="DE25" s="377"/>
      <c r="DF25" s="376"/>
      <c r="DG25" s="376"/>
      <c r="DH25" s="377"/>
      <c r="DI25" s="377"/>
      <c r="DJ25" s="376"/>
      <c r="DK25" s="376"/>
      <c r="DL25" s="377"/>
      <c r="DM25" s="377"/>
      <c r="DN25" s="376"/>
      <c r="DO25" s="377"/>
      <c r="DP25" s="376"/>
      <c r="DQ25" s="376"/>
      <c r="DR25" s="376"/>
      <c r="DS25" s="379"/>
      <c r="DT25" s="379"/>
      <c r="DU25" s="373">
        <v>25</v>
      </c>
    </row>
    <row r="26" spans="1:125" x14ac:dyDescent="0.2">
      <c r="A26" s="374"/>
      <c r="E26" s="376"/>
      <c r="F26" s="376"/>
      <c r="G26" s="377"/>
      <c r="H26" s="377"/>
      <c r="I26" s="377"/>
      <c r="J26" s="377"/>
      <c r="K26" s="377"/>
      <c r="L26" s="377"/>
      <c r="M26" s="377"/>
      <c r="N26" s="377"/>
      <c r="O26" s="377"/>
      <c r="P26" s="377"/>
      <c r="Q26" s="377"/>
      <c r="R26" s="377"/>
      <c r="S26" s="377"/>
      <c r="T26" s="377"/>
      <c r="U26" s="376"/>
      <c r="V26" s="378"/>
      <c r="W26" s="378"/>
      <c r="X26" s="376"/>
      <c r="Y26" s="376"/>
      <c r="Z26" s="377"/>
      <c r="AA26" s="377"/>
      <c r="AB26" s="376"/>
      <c r="AC26" s="376"/>
      <c r="AD26" s="377"/>
      <c r="AE26" s="376"/>
      <c r="AF26" s="376"/>
      <c r="AG26" s="376"/>
      <c r="AH26" s="377"/>
      <c r="AI26" s="377"/>
      <c r="AJ26" s="377"/>
      <c r="AK26" s="376"/>
      <c r="AL26" s="376"/>
      <c r="AM26" s="377"/>
      <c r="AN26" s="377"/>
      <c r="AO26" s="377"/>
      <c r="AP26" s="376"/>
      <c r="AQ26" s="376"/>
      <c r="AR26" s="377"/>
      <c r="AS26" s="377"/>
      <c r="AT26" s="377"/>
      <c r="AU26" s="376"/>
      <c r="AV26" s="376"/>
      <c r="AW26" s="377"/>
      <c r="AX26" s="377"/>
      <c r="AY26" s="377"/>
      <c r="AZ26" s="376"/>
      <c r="BA26" s="376"/>
      <c r="BB26" s="377"/>
      <c r="BC26" s="377"/>
      <c r="BD26" s="377"/>
      <c r="BE26" s="376"/>
      <c r="BF26" s="376"/>
      <c r="BG26" s="377"/>
      <c r="BH26" s="377"/>
      <c r="BI26" s="377"/>
      <c r="BJ26" s="376"/>
      <c r="BK26" s="376"/>
      <c r="BL26" s="377"/>
      <c r="BM26" s="377"/>
      <c r="BN26" s="377"/>
      <c r="BO26" s="376"/>
      <c r="BP26" s="376"/>
      <c r="BQ26" s="377"/>
      <c r="BR26" s="377"/>
      <c r="BS26" s="377"/>
      <c r="BT26" s="376"/>
      <c r="BU26" s="376"/>
      <c r="BV26" s="377"/>
      <c r="BW26" s="377"/>
      <c r="BX26" s="377"/>
      <c r="BY26" s="376"/>
      <c r="BZ26" s="376"/>
      <c r="CA26" s="377"/>
      <c r="CB26" s="377"/>
      <c r="CC26" s="377"/>
      <c r="CD26" s="376"/>
      <c r="CE26" s="376"/>
      <c r="CF26" s="377"/>
      <c r="CG26" s="377"/>
      <c r="CH26" s="377"/>
      <c r="CI26" s="376"/>
      <c r="CJ26" s="376"/>
      <c r="CK26" s="377"/>
      <c r="CL26" s="377"/>
      <c r="CM26" s="377"/>
      <c r="CN26" s="376"/>
      <c r="CO26" s="376"/>
      <c r="CP26" s="376"/>
      <c r="CQ26" s="377"/>
      <c r="CR26" s="376"/>
      <c r="CS26" s="376"/>
      <c r="CT26" s="377"/>
      <c r="CU26" s="377"/>
      <c r="CV26" s="377"/>
      <c r="CW26" s="377"/>
      <c r="CX26" s="377"/>
      <c r="CY26" s="377"/>
      <c r="CZ26" s="377"/>
      <c r="DA26" s="377"/>
      <c r="DB26" s="377"/>
      <c r="DC26" s="377"/>
      <c r="DD26" s="377"/>
      <c r="DE26" s="377"/>
      <c r="DF26" s="376"/>
      <c r="DG26" s="376"/>
      <c r="DH26" s="377"/>
      <c r="DI26" s="377"/>
      <c r="DJ26" s="376"/>
      <c r="DK26" s="376"/>
      <c r="DL26" s="377"/>
      <c r="DM26" s="377"/>
      <c r="DN26" s="376"/>
      <c r="DO26" s="377"/>
      <c r="DP26" s="376"/>
      <c r="DQ26" s="376"/>
      <c r="DR26" s="376"/>
      <c r="DS26" s="379"/>
      <c r="DT26" s="379"/>
      <c r="DU26" s="373">
        <v>26</v>
      </c>
    </row>
    <row r="27" spans="1:125" x14ac:dyDescent="0.2">
      <c r="A27" s="374"/>
      <c r="E27" s="376"/>
      <c r="F27" s="376"/>
      <c r="G27" s="377"/>
      <c r="H27" s="377"/>
      <c r="I27" s="377"/>
      <c r="J27" s="377"/>
      <c r="K27" s="377"/>
      <c r="L27" s="377"/>
      <c r="M27" s="377"/>
      <c r="N27" s="377"/>
      <c r="O27" s="377"/>
      <c r="P27" s="377"/>
      <c r="Q27" s="377"/>
      <c r="R27" s="377"/>
      <c r="S27" s="377"/>
      <c r="T27" s="377"/>
      <c r="U27" s="376"/>
      <c r="V27" s="378"/>
      <c r="W27" s="378"/>
      <c r="X27" s="376"/>
      <c r="Y27" s="376"/>
      <c r="Z27" s="377"/>
      <c r="AA27" s="377"/>
      <c r="AB27" s="376"/>
      <c r="AC27" s="376"/>
      <c r="AD27" s="377"/>
      <c r="AE27" s="376"/>
      <c r="AF27" s="376"/>
      <c r="AG27" s="376"/>
      <c r="AH27" s="377"/>
      <c r="AI27" s="377"/>
      <c r="AJ27" s="377"/>
      <c r="AK27" s="376"/>
      <c r="AL27" s="376"/>
      <c r="AM27" s="377"/>
      <c r="AN27" s="377"/>
      <c r="AO27" s="377"/>
      <c r="AP27" s="376"/>
      <c r="AQ27" s="376"/>
      <c r="AR27" s="377"/>
      <c r="AS27" s="377"/>
      <c r="AT27" s="377"/>
      <c r="AU27" s="376"/>
      <c r="AV27" s="376"/>
      <c r="AW27" s="377"/>
      <c r="AX27" s="377"/>
      <c r="AY27" s="377"/>
      <c r="AZ27" s="376"/>
      <c r="BA27" s="376"/>
      <c r="BB27" s="377"/>
      <c r="BC27" s="377"/>
      <c r="BD27" s="377"/>
      <c r="BE27" s="376"/>
      <c r="BF27" s="376"/>
      <c r="BG27" s="377"/>
      <c r="BH27" s="377"/>
      <c r="BI27" s="377"/>
      <c r="BJ27" s="376"/>
      <c r="BK27" s="376"/>
      <c r="BL27" s="377"/>
      <c r="BM27" s="377"/>
      <c r="BN27" s="377"/>
      <c r="BO27" s="376"/>
      <c r="BP27" s="376"/>
      <c r="BQ27" s="377"/>
      <c r="BR27" s="377"/>
      <c r="BS27" s="377"/>
      <c r="BT27" s="376"/>
      <c r="BU27" s="376"/>
      <c r="BV27" s="377"/>
      <c r="BW27" s="377"/>
      <c r="BX27" s="377"/>
      <c r="BY27" s="376"/>
      <c r="BZ27" s="376"/>
      <c r="CA27" s="377"/>
      <c r="CB27" s="377"/>
      <c r="CC27" s="377"/>
      <c r="CD27" s="376"/>
      <c r="CE27" s="376"/>
      <c r="CF27" s="377"/>
      <c r="CG27" s="377"/>
      <c r="CH27" s="377"/>
      <c r="CI27" s="376"/>
      <c r="CJ27" s="376"/>
      <c r="CK27" s="377"/>
      <c r="CL27" s="377"/>
      <c r="CM27" s="377"/>
      <c r="CN27" s="376"/>
      <c r="CO27" s="376"/>
      <c r="CP27" s="376"/>
      <c r="CQ27" s="377"/>
      <c r="CR27" s="376"/>
      <c r="CS27" s="376"/>
      <c r="CT27" s="377"/>
      <c r="CU27" s="377"/>
      <c r="CV27" s="377"/>
      <c r="CW27" s="377"/>
      <c r="CX27" s="377"/>
      <c r="CY27" s="377"/>
      <c r="CZ27" s="377"/>
      <c r="DA27" s="377"/>
      <c r="DB27" s="377"/>
      <c r="DC27" s="377"/>
      <c r="DD27" s="377"/>
      <c r="DE27" s="377"/>
      <c r="DF27" s="376"/>
      <c r="DG27" s="376"/>
      <c r="DH27" s="377"/>
      <c r="DI27" s="377"/>
      <c r="DJ27" s="376"/>
      <c r="DK27" s="376"/>
      <c r="DL27" s="377"/>
      <c r="DM27" s="377"/>
      <c r="DN27" s="376"/>
      <c r="DO27" s="377"/>
      <c r="DP27" s="376"/>
      <c r="DQ27" s="376"/>
      <c r="DR27" s="376"/>
      <c r="DS27" s="379"/>
      <c r="DT27" s="379"/>
      <c r="DU27" s="373">
        <v>27</v>
      </c>
    </row>
    <row r="28" spans="1:125" x14ac:dyDescent="0.2">
      <c r="A28" s="374"/>
      <c r="E28" s="375"/>
      <c r="F28" s="376"/>
      <c r="G28" s="377"/>
      <c r="H28" s="377"/>
      <c r="I28" s="377"/>
      <c r="J28" s="377"/>
      <c r="K28" s="377"/>
      <c r="L28" s="377"/>
      <c r="M28" s="377"/>
      <c r="N28" s="377"/>
      <c r="O28" s="377"/>
      <c r="P28" s="377"/>
      <c r="Q28" s="377"/>
      <c r="R28" s="377"/>
      <c r="S28" s="377"/>
      <c r="T28" s="377"/>
      <c r="U28" s="376"/>
      <c r="V28" s="378"/>
      <c r="W28" s="378"/>
      <c r="X28" s="376"/>
      <c r="Y28" s="376"/>
      <c r="Z28" s="377"/>
      <c r="AA28" s="377"/>
      <c r="AB28" s="376"/>
      <c r="AC28" s="376"/>
      <c r="AD28" s="377"/>
      <c r="AE28" s="376"/>
      <c r="AF28" s="376"/>
      <c r="AG28" s="376"/>
      <c r="AH28" s="377"/>
      <c r="AI28" s="377"/>
      <c r="AJ28" s="377"/>
      <c r="AK28" s="376"/>
      <c r="AL28" s="376"/>
      <c r="AM28" s="377"/>
      <c r="AN28" s="377"/>
      <c r="AO28" s="377"/>
      <c r="AP28" s="376"/>
      <c r="AQ28" s="376"/>
      <c r="AR28" s="377"/>
      <c r="AS28" s="377"/>
      <c r="AT28" s="377"/>
      <c r="AU28" s="376"/>
      <c r="AV28" s="376"/>
      <c r="AW28" s="377"/>
      <c r="AX28" s="377"/>
      <c r="AY28" s="377"/>
      <c r="AZ28" s="376"/>
      <c r="BA28" s="376"/>
      <c r="BB28" s="377"/>
      <c r="BC28" s="377"/>
      <c r="BD28" s="377"/>
      <c r="BE28" s="376"/>
      <c r="BF28" s="376"/>
      <c r="BG28" s="377"/>
      <c r="BH28" s="377"/>
      <c r="BI28" s="377"/>
      <c r="BJ28" s="376"/>
      <c r="BK28" s="376"/>
      <c r="BL28" s="377"/>
      <c r="BM28" s="377"/>
      <c r="BN28" s="377"/>
      <c r="BO28" s="376"/>
      <c r="BP28" s="376"/>
      <c r="BQ28" s="377"/>
      <c r="BR28" s="377"/>
      <c r="BS28" s="377"/>
      <c r="BT28" s="376"/>
      <c r="BU28" s="376"/>
      <c r="BV28" s="377"/>
      <c r="BW28" s="377"/>
      <c r="BX28" s="377"/>
      <c r="BY28" s="376"/>
      <c r="BZ28" s="376"/>
      <c r="CA28" s="377"/>
      <c r="CB28" s="377"/>
      <c r="CC28" s="377"/>
      <c r="CD28" s="376"/>
      <c r="CE28" s="376"/>
      <c r="CF28" s="377"/>
      <c r="CG28" s="377"/>
      <c r="CH28" s="377"/>
      <c r="CI28" s="376"/>
      <c r="CJ28" s="376"/>
      <c r="CK28" s="377"/>
      <c r="CL28" s="377"/>
      <c r="CM28" s="377"/>
      <c r="CN28" s="376"/>
      <c r="CO28" s="376"/>
      <c r="CP28" s="376"/>
      <c r="CQ28" s="377"/>
      <c r="CR28" s="376"/>
      <c r="CS28" s="376"/>
      <c r="CT28" s="377"/>
      <c r="CU28" s="377"/>
      <c r="CV28" s="377"/>
      <c r="CW28" s="377"/>
      <c r="CX28" s="377"/>
      <c r="CY28" s="377"/>
      <c r="CZ28" s="377"/>
      <c r="DA28" s="377"/>
      <c r="DB28" s="377"/>
      <c r="DC28" s="377"/>
      <c r="DD28" s="377"/>
      <c r="DE28" s="377"/>
      <c r="DF28" s="376"/>
      <c r="DG28" s="376"/>
      <c r="DH28" s="377"/>
      <c r="DI28" s="377"/>
      <c r="DJ28" s="376"/>
      <c r="DK28" s="376"/>
      <c r="DL28" s="377"/>
      <c r="DM28" s="377"/>
      <c r="DN28" s="376"/>
      <c r="DO28" s="377"/>
      <c r="DP28" s="376"/>
      <c r="DQ28" s="376"/>
      <c r="DR28" s="376"/>
      <c r="DS28" s="379"/>
      <c r="DT28" s="379"/>
      <c r="DU28" s="373">
        <v>28</v>
      </c>
    </row>
    <row r="29" spans="1:125" x14ac:dyDescent="0.2">
      <c r="E29" s="375"/>
      <c r="F29" s="376"/>
      <c r="G29" s="377"/>
      <c r="H29" s="377"/>
      <c r="I29" s="377"/>
      <c r="J29" s="377"/>
      <c r="K29" s="377"/>
      <c r="L29" s="377"/>
      <c r="M29" s="377"/>
      <c r="N29" s="377"/>
      <c r="O29" s="377"/>
      <c r="P29" s="377"/>
      <c r="Q29" s="377"/>
      <c r="R29" s="377"/>
      <c r="S29" s="377"/>
      <c r="T29" s="377"/>
      <c r="U29" s="376"/>
      <c r="V29" s="378"/>
      <c r="W29" s="378"/>
      <c r="X29" s="376"/>
      <c r="Y29" s="376"/>
      <c r="Z29" s="377"/>
      <c r="AA29" s="377"/>
      <c r="AB29" s="376"/>
      <c r="AC29" s="376"/>
      <c r="AD29" s="377"/>
      <c r="AE29" s="376"/>
      <c r="AF29" s="376"/>
      <c r="AG29" s="376"/>
      <c r="AH29" s="377"/>
      <c r="AI29" s="377"/>
      <c r="AJ29" s="377"/>
      <c r="AK29" s="376"/>
      <c r="AL29" s="376"/>
      <c r="AM29" s="377"/>
      <c r="AN29" s="377"/>
      <c r="AO29" s="377"/>
      <c r="AP29" s="376"/>
      <c r="AQ29" s="376"/>
      <c r="AR29" s="377"/>
      <c r="AS29" s="377"/>
      <c r="AT29" s="377"/>
      <c r="AU29" s="376"/>
      <c r="AV29" s="376"/>
      <c r="AW29" s="377"/>
      <c r="AX29" s="377"/>
      <c r="AY29" s="377"/>
      <c r="AZ29" s="376"/>
      <c r="BA29" s="376"/>
      <c r="BB29" s="377"/>
      <c r="BC29" s="377"/>
      <c r="BD29" s="377"/>
      <c r="BE29" s="376"/>
      <c r="BF29" s="376"/>
      <c r="BG29" s="377"/>
      <c r="BH29" s="377"/>
      <c r="BI29" s="377"/>
      <c r="BJ29" s="376"/>
      <c r="BK29" s="376"/>
      <c r="BL29" s="377"/>
      <c r="BM29" s="377"/>
      <c r="BN29" s="377"/>
      <c r="BO29" s="376"/>
      <c r="BP29" s="376"/>
      <c r="BQ29" s="377"/>
      <c r="BR29" s="377"/>
      <c r="BS29" s="377"/>
      <c r="BT29" s="376"/>
      <c r="BU29" s="376"/>
      <c r="BV29" s="377"/>
      <c r="BW29" s="377"/>
      <c r="BX29" s="377"/>
      <c r="BY29" s="376"/>
      <c r="BZ29" s="376"/>
      <c r="CA29" s="377"/>
      <c r="CB29" s="377"/>
      <c r="CC29" s="377"/>
      <c r="CD29" s="376"/>
      <c r="CE29" s="376"/>
      <c r="CF29" s="377"/>
      <c r="CG29" s="377"/>
      <c r="CH29" s="377"/>
      <c r="CI29" s="376"/>
      <c r="CJ29" s="376"/>
      <c r="CK29" s="377"/>
      <c r="CL29" s="377"/>
      <c r="CM29" s="377"/>
      <c r="CN29" s="376"/>
      <c r="CO29" s="376"/>
      <c r="CP29" s="376"/>
      <c r="CQ29" s="377"/>
      <c r="CR29" s="376"/>
      <c r="CS29" s="376"/>
      <c r="CT29" s="377"/>
      <c r="CU29" s="377"/>
      <c r="CV29" s="377"/>
      <c r="CW29" s="377"/>
      <c r="CX29" s="377"/>
      <c r="CY29" s="377"/>
      <c r="CZ29" s="377"/>
      <c r="DA29" s="377"/>
      <c r="DB29" s="377"/>
      <c r="DC29" s="377"/>
      <c r="DD29" s="377"/>
      <c r="DE29" s="377"/>
      <c r="DF29" s="376"/>
      <c r="DG29" s="376"/>
      <c r="DH29" s="377"/>
      <c r="DI29" s="377"/>
      <c r="DJ29" s="376"/>
      <c r="DK29" s="376"/>
      <c r="DL29" s="377"/>
      <c r="DM29" s="377"/>
      <c r="DN29" s="376"/>
      <c r="DO29" s="377"/>
      <c r="DP29" s="376"/>
      <c r="DQ29" s="376"/>
      <c r="DR29" s="376"/>
      <c r="DS29" s="379"/>
      <c r="DT29" s="379"/>
      <c r="DU29" s="373">
        <v>29</v>
      </c>
    </row>
    <row r="30" spans="1:125" x14ac:dyDescent="0.2">
      <c r="E30" s="376"/>
      <c r="F30" s="376"/>
      <c r="G30" s="377"/>
      <c r="H30" s="377"/>
      <c r="I30" s="377"/>
      <c r="J30" s="377"/>
      <c r="K30" s="377"/>
      <c r="L30" s="377"/>
      <c r="M30" s="377"/>
      <c r="N30" s="377"/>
      <c r="O30" s="377"/>
      <c r="P30" s="377"/>
      <c r="Q30" s="377"/>
      <c r="R30" s="377"/>
      <c r="S30" s="377"/>
      <c r="T30" s="377"/>
      <c r="U30" s="376"/>
      <c r="V30" s="378"/>
      <c r="W30" s="378"/>
      <c r="X30" s="376"/>
      <c r="Y30" s="376"/>
      <c r="Z30" s="377"/>
      <c r="AA30" s="377"/>
      <c r="AB30" s="376"/>
      <c r="AC30" s="376"/>
      <c r="AD30" s="377"/>
      <c r="AE30" s="376"/>
      <c r="AF30" s="376"/>
      <c r="AG30" s="376"/>
      <c r="AH30" s="377"/>
      <c r="AI30" s="377"/>
      <c r="AJ30" s="377"/>
      <c r="AK30" s="376"/>
      <c r="AL30" s="376"/>
      <c r="AM30" s="377"/>
      <c r="AN30" s="377"/>
      <c r="AO30" s="377"/>
      <c r="AP30" s="376"/>
      <c r="AQ30" s="376"/>
      <c r="AR30" s="377"/>
      <c r="AS30" s="377"/>
      <c r="AT30" s="377"/>
      <c r="AU30" s="376"/>
      <c r="AV30" s="376"/>
      <c r="AW30" s="377"/>
      <c r="AX30" s="377"/>
      <c r="AY30" s="377"/>
      <c r="AZ30" s="376"/>
      <c r="BA30" s="376"/>
      <c r="BB30" s="377"/>
      <c r="BC30" s="377"/>
      <c r="BD30" s="377"/>
      <c r="BE30" s="376"/>
      <c r="BF30" s="376"/>
      <c r="BG30" s="377"/>
      <c r="BH30" s="377"/>
      <c r="BI30" s="377"/>
      <c r="BJ30" s="376"/>
      <c r="BK30" s="376"/>
      <c r="BL30" s="377"/>
      <c r="BM30" s="377"/>
      <c r="BN30" s="377"/>
      <c r="BO30" s="376"/>
      <c r="BP30" s="376"/>
      <c r="BQ30" s="377"/>
      <c r="BR30" s="377"/>
      <c r="BS30" s="377"/>
      <c r="BT30" s="376"/>
      <c r="BU30" s="376"/>
      <c r="BV30" s="377"/>
      <c r="BW30" s="377"/>
      <c r="BX30" s="377"/>
      <c r="BY30" s="376"/>
      <c r="BZ30" s="376"/>
      <c r="CA30" s="377"/>
      <c r="CB30" s="377"/>
      <c r="CC30" s="377"/>
      <c r="CD30" s="376"/>
      <c r="CE30" s="376"/>
      <c r="CF30" s="377"/>
      <c r="CG30" s="377"/>
      <c r="CH30" s="377"/>
      <c r="CI30" s="376"/>
      <c r="CJ30" s="376"/>
      <c r="CK30" s="377"/>
      <c r="CL30" s="377"/>
      <c r="CM30" s="377"/>
      <c r="CN30" s="376"/>
      <c r="CO30" s="376"/>
      <c r="CP30" s="376"/>
      <c r="CQ30" s="377"/>
      <c r="CR30" s="376"/>
      <c r="CS30" s="376"/>
      <c r="CT30" s="377"/>
      <c r="CU30" s="377"/>
      <c r="CV30" s="377"/>
      <c r="CW30" s="377"/>
      <c r="CX30" s="377"/>
      <c r="CY30" s="377"/>
      <c r="CZ30" s="377"/>
      <c r="DA30" s="377"/>
      <c r="DB30" s="377"/>
      <c r="DC30" s="377"/>
      <c r="DD30" s="377"/>
      <c r="DE30" s="377"/>
      <c r="DF30" s="376"/>
      <c r="DG30" s="376"/>
      <c r="DH30" s="377"/>
      <c r="DI30" s="377"/>
      <c r="DJ30" s="376"/>
      <c r="DK30" s="376"/>
      <c r="DL30" s="377"/>
      <c r="DM30" s="377"/>
      <c r="DN30" s="376"/>
      <c r="DO30" s="377"/>
      <c r="DP30" s="376"/>
      <c r="DQ30" s="376"/>
      <c r="DR30" s="376"/>
      <c r="DS30" s="379"/>
      <c r="DT30" s="379"/>
      <c r="DU30" s="373">
        <v>30</v>
      </c>
    </row>
    <row r="31" spans="1:125" x14ac:dyDescent="0.2">
      <c r="E31" s="376"/>
      <c r="F31" s="376"/>
      <c r="G31" s="377"/>
      <c r="H31" s="377"/>
      <c r="I31" s="377"/>
      <c r="J31" s="377"/>
      <c r="K31" s="377"/>
      <c r="L31" s="377"/>
      <c r="M31" s="377"/>
      <c r="N31" s="377"/>
      <c r="O31" s="377"/>
      <c r="P31" s="377"/>
      <c r="Q31" s="377"/>
      <c r="R31" s="377"/>
      <c r="S31" s="377"/>
      <c r="T31" s="377"/>
      <c r="U31" s="376"/>
      <c r="V31" s="378"/>
      <c r="W31" s="378"/>
      <c r="X31" s="376"/>
      <c r="Y31" s="376"/>
      <c r="Z31" s="377"/>
      <c r="AA31" s="377"/>
      <c r="AB31" s="376"/>
      <c r="AC31" s="376"/>
      <c r="AD31" s="377"/>
      <c r="AE31" s="376"/>
      <c r="AF31" s="376"/>
      <c r="AG31" s="376"/>
      <c r="AH31" s="377"/>
      <c r="AI31" s="377"/>
      <c r="AJ31" s="377"/>
      <c r="AK31" s="376"/>
      <c r="AL31" s="376"/>
      <c r="AM31" s="377"/>
      <c r="AN31" s="377"/>
      <c r="AO31" s="377"/>
      <c r="AP31" s="376"/>
      <c r="AQ31" s="376"/>
      <c r="AR31" s="377"/>
      <c r="AS31" s="377"/>
      <c r="AT31" s="377"/>
      <c r="AU31" s="376"/>
      <c r="AV31" s="376"/>
      <c r="AW31" s="377"/>
      <c r="AX31" s="377"/>
      <c r="AY31" s="377"/>
      <c r="AZ31" s="376"/>
      <c r="BA31" s="376"/>
      <c r="BB31" s="377"/>
      <c r="BC31" s="377"/>
      <c r="BD31" s="377"/>
      <c r="BE31" s="376"/>
      <c r="BF31" s="376"/>
      <c r="BG31" s="377"/>
      <c r="BH31" s="377"/>
      <c r="BI31" s="377"/>
      <c r="BJ31" s="376"/>
      <c r="BK31" s="376"/>
      <c r="BL31" s="377"/>
      <c r="BM31" s="377"/>
      <c r="BN31" s="377"/>
      <c r="BO31" s="376"/>
      <c r="BP31" s="376"/>
      <c r="BQ31" s="377"/>
      <c r="BR31" s="377"/>
      <c r="BS31" s="377"/>
      <c r="BT31" s="376"/>
      <c r="BU31" s="376"/>
      <c r="BV31" s="377"/>
      <c r="BW31" s="377"/>
      <c r="BX31" s="377"/>
      <c r="BY31" s="376"/>
      <c r="BZ31" s="376"/>
      <c r="CA31" s="377"/>
      <c r="CB31" s="377"/>
      <c r="CC31" s="377"/>
      <c r="CD31" s="376"/>
      <c r="CE31" s="376"/>
      <c r="CF31" s="377"/>
      <c r="CG31" s="377"/>
      <c r="CH31" s="377"/>
      <c r="CI31" s="376"/>
      <c r="CJ31" s="376"/>
      <c r="CK31" s="377"/>
      <c r="CL31" s="377"/>
      <c r="CM31" s="377"/>
      <c r="CN31" s="376"/>
      <c r="CO31" s="376"/>
      <c r="CP31" s="376"/>
      <c r="CQ31" s="377"/>
      <c r="CR31" s="376"/>
      <c r="CS31" s="376"/>
      <c r="CT31" s="377"/>
      <c r="CU31" s="377"/>
      <c r="CV31" s="377"/>
      <c r="CW31" s="377"/>
      <c r="CX31" s="377"/>
      <c r="CY31" s="377"/>
      <c r="CZ31" s="377"/>
      <c r="DA31" s="377"/>
      <c r="DB31" s="377"/>
      <c r="DC31" s="377"/>
      <c r="DD31" s="377"/>
      <c r="DE31" s="377"/>
      <c r="DF31" s="376"/>
      <c r="DG31" s="376"/>
      <c r="DH31" s="377"/>
      <c r="DI31" s="377"/>
      <c r="DJ31" s="376"/>
      <c r="DK31" s="376"/>
      <c r="DL31" s="377"/>
      <c r="DM31" s="377"/>
      <c r="DN31" s="376"/>
      <c r="DO31" s="377"/>
      <c r="DP31" s="376"/>
      <c r="DQ31" s="376"/>
      <c r="DR31" s="376"/>
      <c r="DS31" s="379"/>
      <c r="DT31" s="379"/>
      <c r="DU31" s="373">
        <v>31</v>
      </c>
    </row>
    <row r="32" spans="1:125" x14ac:dyDescent="0.2">
      <c r="E32" s="376"/>
      <c r="F32" s="376"/>
      <c r="G32" s="377"/>
      <c r="H32" s="377"/>
      <c r="I32" s="377"/>
      <c r="J32" s="377"/>
      <c r="K32" s="377"/>
      <c r="L32" s="377"/>
      <c r="M32" s="377"/>
      <c r="N32" s="377"/>
      <c r="O32" s="377"/>
      <c r="P32" s="377"/>
      <c r="Q32" s="377"/>
      <c r="R32" s="377"/>
      <c r="S32" s="377"/>
      <c r="T32" s="377"/>
      <c r="U32" s="376"/>
      <c r="V32" s="378"/>
      <c r="W32" s="378"/>
      <c r="X32" s="376"/>
      <c r="Y32" s="376"/>
      <c r="Z32" s="377"/>
      <c r="AA32" s="377"/>
      <c r="AB32" s="376"/>
      <c r="AC32" s="376"/>
      <c r="AD32" s="377"/>
      <c r="AE32" s="376"/>
      <c r="AF32" s="376"/>
      <c r="AG32" s="376"/>
      <c r="AH32" s="377"/>
      <c r="AI32" s="377"/>
      <c r="AJ32" s="377"/>
      <c r="AK32" s="376"/>
      <c r="AL32" s="376"/>
      <c r="AM32" s="377"/>
      <c r="AN32" s="377"/>
      <c r="AO32" s="377"/>
      <c r="AP32" s="376"/>
      <c r="AQ32" s="376"/>
      <c r="AR32" s="377"/>
      <c r="AS32" s="377"/>
      <c r="AT32" s="377"/>
      <c r="AU32" s="376"/>
      <c r="AV32" s="376"/>
      <c r="AW32" s="377"/>
      <c r="AX32" s="377"/>
      <c r="AY32" s="377"/>
      <c r="AZ32" s="376"/>
      <c r="BA32" s="376"/>
      <c r="BB32" s="377"/>
      <c r="BC32" s="377"/>
      <c r="BD32" s="377"/>
      <c r="BE32" s="376"/>
      <c r="BF32" s="376"/>
      <c r="BG32" s="377"/>
      <c r="BH32" s="377"/>
      <c r="BI32" s="377"/>
      <c r="BJ32" s="376"/>
      <c r="BK32" s="376"/>
      <c r="BL32" s="377"/>
      <c r="BM32" s="377"/>
      <c r="BN32" s="377"/>
      <c r="BO32" s="376"/>
      <c r="BP32" s="376"/>
      <c r="BQ32" s="377"/>
      <c r="BR32" s="377"/>
      <c r="BS32" s="377"/>
      <c r="BT32" s="376"/>
      <c r="BU32" s="376"/>
      <c r="BV32" s="377"/>
      <c r="BW32" s="377"/>
      <c r="BX32" s="377"/>
      <c r="BY32" s="376"/>
      <c r="BZ32" s="376"/>
      <c r="CA32" s="377"/>
      <c r="CB32" s="377"/>
      <c r="CC32" s="377"/>
      <c r="CD32" s="376"/>
      <c r="CE32" s="376"/>
      <c r="CF32" s="377"/>
      <c r="CG32" s="377"/>
      <c r="CH32" s="377"/>
      <c r="CI32" s="376"/>
      <c r="CJ32" s="376"/>
      <c r="CK32" s="377"/>
      <c r="CL32" s="377"/>
      <c r="CM32" s="377"/>
      <c r="CN32" s="376"/>
      <c r="CO32" s="376"/>
      <c r="CP32" s="376"/>
      <c r="CQ32" s="377"/>
      <c r="CR32" s="376"/>
      <c r="CS32" s="376"/>
      <c r="CT32" s="377"/>
      <c r="CU32" s="377"/>
      <c r="CV32" s="377"/>
      <c r="CW32" s="377"/>
      <c r="CX32" s="377"/>
      <c r="CY32" s="377"/>
      <c r="CZ32" s="377"/>
      <c r="DA32" s="377"/>
      <c r="DB32" s="377"/>
      <c r="DC32" s="377"/>
      <c r="DD32" s="377"/>
      <c r="DE32" s="377"/>
      <c r="DF32" s="376"/>
      <c r="DG32" s="376"/>
      <c r="DH32" s="377"/>
      <c r="DI32" s="377"/>
      <c r="DJ32" s="376"/>
      <c r="DK32" s="376"/>
      <c r="DL32" s="377"/>
      <c r="DM32" s="377"/>
      <c r="DN32" s="376"/>
      <c r="DO32" s="377"/>
      <c r="DP32" s="376"/>
      <c r="DQ32" s="376"/>
      <c r="DR32" s="376"/>
      <c r="DS32" s="379"/>
      <c r="DT32" s="379"/>
      <c r="DU32" s="373">
        <v>32</v>
      </c>
    </row>
    <row r="33" spans="5:125" x14ac:dyDescent="0.2">
      <c r="E33" s="376"/>
      <c r="F33" s="376"/>
      <c r="G33" s="377"/>
      <c r="H33" s="377"/>
      <c r="I33" s="377"/>
      <c r="J33" s="377"/>
      <c r="K33" s="377"/>
      <c r="L33" s="377"/>
      <c r="M33" s="377"/>
      <c r="N33" s="377"/>
      <c r="O33" s="377"/>
      <c r="P33" s="377"/>
      <c r="Q33" s="377"/>
      <c r="R33" s="377"/>
      <c r="S33" s="377"/>
      <c r="T33" s="377"/>
      <c r="U33" s="376"/>
      <c r="V33" s="378"/>
      <c r="W33" s="378"/>
      <c r="X33" s="376"/>
      <c r="Y33" s="376"/>
      <c r="Z33" s="377"/>
      <c r="AA33" s="377"/>
      <c r="AB33" s="376"/>
      <c r="AC33" s="376"/>
      <c r="AD33" s="377"/>
      <c r="AE33" s="376"/>
      <c r="AF33" s="376"/>
      <c r="AG33" s="376"/>
      <c r="AH33" s="377"/>
      <c r="AI33" s="377"/>
      <c r="AJ33" s="377"/>
      <c r="AK33" s="376"/>
      <c r="AL33" s="376"/>
      <c r="AM33" s="377"/>
      <c r="AN33" s="377"/>
      <c r="AO33" s="377"/>
      <c r="AP33" s="376"/>
      <c r="AQ33" s="376"/>
      <c r="AR33" s="377"/>
      <c r="AS33" s="377"/>
      <c r="AT33" s="377"/>
      <c r="AU33" s="376"/>
      <c r="AV33" s="376"/>
      <c r="AW33" s="377"/>
      <c r="AX33" s="377"/>
      <c r="AY33" s="377"/>
      <c r="AZ33" s="376"/>
      <c r="BA33" s="376"/>
      <c r="BB33" s="377"/>
      <c r="BC33" s="377"/>
      <c r="BD33" s="377"/>
      <c r="BE33" s="376"/>
      <c r="BF33" s="376"/>
      <c r="BG33" s="377"/>
      <c r="BH33" s="377"/>
      <c r="BI33" s="377"/>
      <c r="BJ33" s="376"/>
      <c r="BK33" s="376"/>
      <c r="BL33" s="377"/>
      <c r="BM33" s="377"/>
      <c r="BN33" s="377"/>
      <c r="BO33" s="376"/>
      <c r="BP33" s="376"/>
      <c r="BQ33" s="377"/>
      <c r="BR33" s="377"/>
      <c r="BS33" s="377"/>
      <c r="BT33" s="376"/>
      <c r="BU33" s="376"/>
      <c r="BV33" s="377"/>
      <c r="BW33" s="377"/>
      <c r="BX33" s="377"/>
      <c r="BY33" s="376"/>
      <c r="BZ33" s="376"/>
      <c r="CA33" s="377"/>
      <c r="CB33" s="377"/>
      <c r="CC33" s="377"/>
      <c r="CD33" s="376"/>
      <c r="CE33" s="376"/>
      <c r="CF33" s="377"/>
      <c r="CG33" s="377"/>
      <c r="CH33" s="377"/>
      <c r="CI33" s="376"/>
      <c r="CJ33" s="376"/>
      <c r="CK33" s="377"/>
      <c r="CL33" s="377"/>
      <c r="CM33" s="377"/>
      <c r="CN33" s="376"/>
      <c r="CO33" s="376"/>
      <c r="CP33" s="376"/>
      <c r="CQ33" s="377"/>
      <c r="CR33" s="376"/>
      <c r="CS33" s="376"/>
      <c r="CT33" s="377"/>
      <c r="CU33" s="377"/>
      <c r="CV33" s="377"/>
      <c r="CW33" s="377"/>
      <c r="CX33" s="377"/>
      <c r="CY33" s="377"/>
      <c r="CZ33" s="377"/>
      <c r="DA33" s="377"/>
      <c r="DB33" s="377"/>
      <c r="DC33" s="377"/>
      <c r="DD33" s="377"/>
      <c r="DE33" s="377"/>
      <c r="DF33" s="376"/>
      <c r="DG33" s="376"/>
      <c r="DH33" s="377"/>
      <c r="DI33" s="377"/>
      <c r="DJ33" s="376"/>
      <c r="DK33" s="376"/>
      <c r="DL33" s="377"/>
      <c r="DM33" s="377"/>
      <c r="DN33" s="376"/>
      <c r="DO33" s="377"/>
      <c r="DP33" s="376"/>
      <c r="DQ33" s="376"/>
      <c r="DR33" s="376"/>
      <c r="DS33" s="379"/>
      <c r="DT33" s="379"/>
      <c r="DU33" s="373">
        <v>33</v>
      </c>
    </row>
    <row r="34" spans="5:125" x14ac:dyDescent="0.2">
      <c r="E34" s="376"/>
      <c r="F34" s="376"/>
      <c r="G34" s="377"/>
      <c r="H34" s="377"/>
      <c r="I34" s="377"/>
      <c r="J34" s="377"/>
      <c r="K34" s="377"/>
      <c r="L34" s="377"/>
      <c r="M34" s="377"/>
      <c r="N34" s="377"/>
      <c r="O34" s="377"/>
      <c r="P34" s="377"/>
      <c r="Q34" s="377"/>
      <c r="R34" s="377"/>
      <c r="S34" s="377"/>
      <c r="T34" s="377"/>
      <c r="U34" s="376"/>
      <c r="V34" s="378"/>
      <c r="W34" s="378"/>
      <c r="X34" s="376"/>
      <c r="Y34" s="376"/>
      <c r="Z34" s="377"/>
      <c r="AA34" s="377"/>
      <c r="AB34" s="376"/>
      <c r="AC34" s="376"/>
      <c r="AD34" s="377"/>
      <c r="AE34" s="376"/>
      <c r="AF34" s="376"/>
      <c r="AG34" s="376"/>
      <c r="AH34" s="377"/>
      <c r="AI34" s="377"/>
      <c r="AJ34" s="377"/>
      <c r="AK34" s="376"/>
      <c r="AL34" s="376"/>
      <c r="AM34" s="377"/>
      <c r="AN34" s="377"/>
      <c r="AO34" s="377"/>
      <c r="AP34" s="376"/>
      <c r="AQ34" s="376"/>
      <c r="AR34" s="377"/>
      <c r="AS34" s="377"/>
      <c r="AT34" s="377"/>
      <c r="AU34" s="376"/>
      <c r="AV34" s="376"/>
      <c r="AW34" s="377"/>
      <c r="AX34" s="377"/>
      <c r="AY34" s="377"/>
      <c r="AZ34" s="376"/>
      <c r="BA34" s="376"/>
      <c r="BB34" s="377"/>
      <c r="BC34" s="377"/>
      <c r="BD34" s="377"/>
      <c r="BE34" s="376"/>
      <c r="BF34" s="376"/>
      <c r="BG34" s="377"/>
      <c r="BH34" s="377"/>
      <c r="BI34" s="377"/>
      <c r="BJ34" s="376"/>
      <c r="BK34" s="376"/>
      <c r="BL34" s="377"/>
      <c r="BM34" s="377"/>
      <c r="BN34" s="377"/>
      <c r="BO34" s="376"/>
      <c r="BP34" s="376"/>
      <c r="BQ34" s="377"/>
      <c r="BR34" s="377"/>
      <c r="BS34" s="377"/>
      <c r="BT34" s="376"/>
      <c r="BU34" s="376"/>
      <c r="BV34" s="377"/>
      <c r="BW34" s="377"/>
      <c r="BX34" s="377"/>
      <c r="BY34" s="376"/>
      <c r="BZ34" s="376"/>
      <c r="CA34" s="377"/>
      <c r="CB34" s="377"/>
      <c r="CC34" s="377"/>
      <c r="CD34" s="376"/>
      <c r="CE34" s="376"/>
      <c r="CF34" s="377"/>
      <c r="CG34" s="377"/>
      <c r="CH34" s="377"/>
      <c r="CI34" s="376"/>
      <c r="CJ34" s="376"/>
      <c r="CK34" s="377"/>
      <c r="CL34" s="377"/>
      <c r="CM34" s="377"/>
      <c r="CN34" s="376"/>
      <c r="CO34" s="376"/>
      <c r="CP34" s="376"/>
      <c r="CQ34" s="377"/>
      <c r="CR34" s="376"/>
      <c r="CS34" s="376"/>
      <c r="CT34" s="377"/>
      <c r="CU34" s="377"/>
      <c r="CV34" s="377"/>
      <c r="CW34" s="377"/>
      <c r="CX34" s="377"/>
      <c r="CY34" s="377"/>
      <c r="CZ34" s="377"/>
      <c r="DA34" s="377"/>
      <c r="DB34" s="377"/>
      <c r="DC34" s="377"/>
      <c r="DD34" s="377"/>
      <c r="DE34" s="377"/>
      <c r="DF34" s="376"/>
      <c r="DG34" s="376"/>
      <c r="DH34" s="377"/>
      <c r="DI34" s="377"/>
      <c r="DJ34" s="376"/>
      <c r="DK34" s="376"/>
      <c r="DL34" s="377"/>
      <c r="DM34" s="377"/>
      <c r="DN34" s="376"/>
      <c r="DO34" s="377"/>
      <c r="DP34" s="376"/>
      <c r="DQ34" s="376"/>
      <c r="DR34" s="376"/>
      <c r="DS34" s="379"/>
      <c r="DT34" s="379"/>
      <c r="DU34" s="373">
        <v>34</v>
      </c>
    </row>
    <row r="35" spans="5:125" x14ac:dyDescent="0.2">
      <c r="E35" s="376"/>
      <c r="F35" s="376"/>
      <c r="G35" s="377"/>
      <c r="H35" s="377"/>
      <c r="I35" s="377"/>
      <c r="J35" s="377"/>
      <c r="K35" s="377"/>
      <c r="L35" s="377"/>
      <c r="M35" s="377"/>
      <c r="N35" s="377"/>
      <c r="O35" s="377"/>
      <c r="P35" s="377"/>
      <c r="Q35" s="377"/>
      <c r="R35" s="377"/>
      <c r="S35" s="377"/>
      <c r="T35" s="377"/>
      <c r="U35" s="376"/>
      <c r="V35" s="378"/>
      <c r="W35" s="378"/>
      <c r="X35" s="376"/>
      <c r="Y35" s="376"/>
      <c r="Z35" s="377"/>
      <c r="AA35" s="377"/>
      <c r="AB35" s="376"/>
      <c r="AC35" s="376"/>
      <c r="AD35" s="377"/>
      <c r="AE35" s="376"/>
      <c r="AF35" s="376"/>
      <c r="AG35" s="376"/>
      <c r="AH35" s="377"/>
      <c r="AI35" s="377"/>
      <c r="AJ35" s="377"/>
      <c r="AK35" s="376"/>
      <c r="AL35" s="376"/>
      <c r="AM35" s="377"/>
      <c r="AN35" s="377"/>
      <c r="AO35" s="377"/>
      <c r="AP35" s="376"/>
      <c r="AQ35" s="376"/>
      <c r="AR35" s="377"/>
      <c r="AS35" s="377"/>
      <c r="AT35" s="377"/>
      <c r="AU35" s="376"/>
      <c r="AV35" s="376"/>
      <c r="AW35" s="377"/>
      <c r="AX35" s="377"/>
      <c r="AY35" s="377"/>
      <c r="AZ35" s="376"/>
      <c r="BA35" s="376"/>
      <c r="BB35" s="377"/>
      <c r="BC35" s="377"/>
      <c r="BD35" s="377"/>
      <c r="BE35" s="376"/>
      <c r="BF35" s="376"/>
      <c r="BG35" s="377"/>
      <c r="BH35" s="377"/>
      <c r="BI35" s="377"/>
      <c r="BJ35" s="376"/>
      <c r="BK35" s="376"/>
      <c r="BL35" s="377"/>
      <c r="BM35" s="377"/>
      <c r="BN35" s="377"/>
      <c r="BO35" s="376"/>
      <c r="BP35" s="376"/>
      <c r="BQ35" s="377"/>
      <c r="BR35" s="377"/>
      <c r="BS35" s="377"/>
      <c r="BT35" s="376"/>
      <c r="BU35" s="376"/>
      <c r="BV35" s="377"/>
      <c r="BW35" s="377"/>
      <c r="BX35" s="377"/>
      <c r="BY35" s="376"/>
      <c r="BZ35" s="376"/>
      <c r="CA35" s="377"/>
      <c r="CB35" s="377"/>
      <c r="CC35" s="377"/>
      <c r="CD35" s="376"/>
      <c r="CE35" s="376"/>
      <c r="CF35" s="377"/>
      <c r="CG35" s="377"/>
      <c r="CH35" s="377"/>
      <c r="CI35" s="376"/>
      <c r="CJ35" s="376"/>
      <c r="CK35" s="377"/>
      <c r="CL35" s="377"/>
      <c r="CM35" s="377"/>
      <c r="CN35" s="376"/>
      <c r="CO35" s="376"/>
      <c r="CP35" s="376"/>
      <c r="CQ35" s="377"/>
      <c r="CR35" s="376"/>
      <c r="CS35" s="376"/>
      <c r="CT35" s="377"/>
      <c r="CU35" s="377"/>
      <c r="CV35" s="377"/>
      <c r="CW35" s="377"/>
      <c r="CX35" s="377"/>
      <c r="CY35" s="377"/>
      <c r="CZ35" s="377"/>
      <c r="DA35" s="377"/>
      <c r="DB35" s="377"/>
      <c r="DC35" s="377"/>
      <c r="DD35" s="377"/>
      <c r="DE35" s="377"/>
      <c r="DF35" s="376"/>
      <c r="DG35" s="376"/>
      <c r="DH35" s="377"/>
      <c r="DI35" s="377"/>
      <c r="DJ35" s="376"/>
      <c r="DK35" s="376"/>
      <c r="DL35" s="377"/>
      <c r="DM35" s="377"/>
      <c r="DN35" s="376"/>
      <c r="DO35" s="377"/>
      <c r="DP35" s="376"/>
      <c r="DQ35" s="376"/>
      <c r="DR35" s="376"/>
      <c r="DS35" s="379"/>
      <c r="DT35" s="379"/>
      <c r="DU35" s="373">
        <v>35</v>
      </c>
    </row>
    <row r="36" spans="5:125" x14ac:dyDescent="0.2">
      <c r="E36" s="376"/>
      <c r="F36" s="376"/>
      <c r="G36" s="377"/>
      <c r="H36" s="377"/>
      <c r="I36" s="377"/>
      <c r="J36" s="377"/>
      <c r="K36" s="377"/>
      <c r="L36" s="377"/>
      <c r="M36" s="377"/>
      <c r="N36" s="377"/>
      <c r="O36" s="377"/>
      <c r="P36" s="377"/>
      <c r="Q36" s="377"/>
      <c r="R36" s="377"/>
      <c r="S36" s="377"/>
      <c r="T36" s="377"/>
      <c r="U36" s="376"/>
      <c r="V36" s="378"/>
      <c r="W36" s="378"/>
      <c r="X36" s="376"/>
      <c r="Y36" s="376"/>
      <c r="Z36" s="377"/>
      <c r="AA36" s="377"/>
      <c r="AB36" s="376"/>
      <c r="AC36" s="376"/>
      <c r="AD36" s="377"/>
      <c r="AE36" s="376"/>
      <c r="AF36" s="376"/>
      <c r="AG36" s="376"/>
      <c r="AH36" s="377"/>
      <c r="AI36" s="377"/>
      <c r="AJ36" s="377"/>
      <c r="AK36" s="376"/>
      <c r="AL36" s="376"/>
      <c r="AM36" s="377"/>
      <c r="AN36" s="377"/>
      <c r="AO36" s="377"/>
      <c r="AP36" s="376"/>
      <c r="AQ36" s="376"/>
      <c r="AR36" s="377"/>
      <c r="AS36" s="377"/>
      <c r="AT36" s="377"/>
      <c r="AU36" s="376"/>
      <c r="AV36" s="376"/>
      <c r="AW36" s="377"/>
      <c r="AX36" s="377"/>
      <c r="AY36" s="377"/>
      <c r="AZ36" s="376"/>
      <c r="BA36" s="376"/>
      <c r="BB36" s="377"/>
      <c r="BC36" s="377"/>
      <c r="BD36" s="377"/>
      <c r="BE36" s="376"/>
      <c r="BF36" s="376"/>
      <c r="BG36" s="377"/>
      <c r="BH36" s="377"/>
      <c r="BI36" s="377"/>
      <c r="BJ36" s="376"/>
      <c r="BK36" s="376"/>
      <c r="BL36" s="377"/>
      <c r="BM36" s="377"/>
      <c r="BN36" s="377"/>
      <c r="BO36" s="376"/>
      <c r="BP36" s="376"/>
      <c r="BQ36" s="377"/>
      <c r="BR36" s="377"/>
      <c r="BS36" s="377"/>
      <c r="BT36" s="376"/>
      <c r="BU36" s="376"/>
      <c r="BV36" s="377"/>
      <c r="BW36" s="377"/>
      <c r="BX36" s="377"/>
      <c r="BY36" s="376"/>
      <c r="BZ36" s="376"/>
      <c r="CA36" s="377"/>
      <c r="CB36" s="377"/>
      <c r="CC36" s="377"/>
      <c r="CD36" s="376"/>
      <c r="CE36" s="376"/>
      <c r="CF36" s="377"/>
      <c r="CG36" s="377"/>
      <c r="CH36" s="377"/>
      <c r="CI36" s="376"/>
      <c r="CJ36" s="376"/>
      <c r="CK36" s="377"/>
      <c r="CL36" s="377"/>
      <c r="CM36" s="377"/>
      <c r="CN36" s="376"/>
      <c r="CO36" s="376"/>
      <c r="CP36" s="376"/>
      <c r="CQ36" s="377"/>
      <c r="CR36" s="376"/>
      <c r="CS36" s="376"/>
      <c r="CT36" s="377"/>
      <c r="CU36" s="377"/>
      <c r="CV36" s="377"/>
      <c r="CW36" s="377"/>
      <c r="CX36" s="377"/>
      <c r="CY36" s="377"/>
      <c r="CZ36" s="377"/>
      <c r="DA36" s="377"/>
      <c r="DB36" s="377"/>
      <c r="DC36" s="377"/>
      <c r="DD36" s="377"/>
      <c r="DE36" s="377"/>
      <c r="DF36" s="376"/>
      <c r="DG36" s="376"/>
      <c r="DH36" s="377"/>
      <c r="DI36" s="377"/>
      <c r="DJ36" s="376"/>
      <c r="DK36" s="376"/>
      <c r="DL36" s="377"/>
      <c r="DM36" s="377"/>
      <c r="DN36" s="376"/>
      <c r="DO36" s="377"/>
      <c r="DP36" s="376"/>
      <c r="DQ36" s="376"/>
      <c r="DR36" s="376"/>
      <c r="DS36" s="379"/>
      <c r="DT36" s="379"/>
      <c r="DU36" s="373">
        <v>36</v>
      </c>
    </row>
    <row r="37" spans="5:125" x14ac:dyDescent="0.2">
      <c r="E37" s="376"/>
      <c r="F37" s="376"/>
      <c r="G37" s="377"/>
      <c r="H37" s="377"/>
      <c r="I37" s="377"/>
      <c r="J37" s="377"/>
      <c r="K37" s="377"/>
      <c r="L37" s="377"/>
      <c r="M37" s="377"/>
      <c r="N37" s="377"/>
      <c r="O37" s="377"/>
      <c r="P37" s="377"/>
      <c r="Q37" s="377"/>
      <c r="R37" s="377"/>
      <c r="S37" s="377"/>
      <c r="T37" s="377"/>
      <c r="U37" s="376"/>
      <c r="V37" s="378"/>
      <c r="W37" s="378"/>
      <c r="X37" s="376"/>
      <c r="Y37" s="376"/>
      <c r="Z37" s="377"/>
      <c r="AA37" s="377"/>
      <c r="AB37" s="376"/>
      <c r="AC37" s="376"/>
      <c r="AD37" s="377"/>
      <c r="AE37" s="376"/>
      <c r="AF37" s="376"/>
      <c r="AG37" s="376"/>
      <c r="AH37" s="377"/>
      <c r="AI37" s="377"/>
      <c r="AJ37" s="377"/>
      <c r="AK37" s="376"/>
      <c r="AL37" s="376"/>
      <c r="AM37" s="377"/>
      <c r="AN37" s="377"/>
      <c r="AO37" s="377"/>
      <c r="AP37" s="376"/>
      <c r="AQ37" s="376"/>
      <c r="AR37" s="377"/>
      <c r="AS37" s="377"/>
      <c r="AT37" s="377"/>
      <c r="AU37" s="376"/>
      <c r="AV37" s="376"/>
      <c r="AW37" s="377"/>
      <c r="AX37" s="377"/>
      <c r="AY37" s="377"/>
      <c r="AZ37" s="376"/>
      <c r="BA37" s="376"/>
      <c r="BB37" s="377"/>
      <c r="BC37" s="377"/>
      <c r="BD37" s="377"/>
      <c r="BE37" s="376"/>
      <c r="BF37" s="376"/>
      <c r="BG37" s="377"/>
      <c r="BH37" s="377"/>
      <c r="BI37" s="377"/>
      <c r="BJ37" s="376"/>
      <c r="BK37" s="376"/>
      <c r="BL37" s="377"/>
      <c r="BM37" s="377"/>
      <c r="BN37" s="377"/>
      <c r="BO37" s="376"/>
      <c r="BP37" s="376"/>
      <c r="BQ37" s="377"/>
      <c r="BR37" s="377"/>
      <c r="BS37" s="377"/>
      <c r="BT37" s="376"/>
      <c r="BU37" s="376"/>
      <c r="BV37" s="377"/>
      <c r="BW37" s="377"/>
      <c r="BX37" s="377"/>
      <c r="BY37" s="376"/>
      <c r="BZ37" s="376"/>
      <c r="CA37" s="377"/>
      <c r="CB37" s="377"/>
      <c r="CC37" s="377"/>
      <c r="CD37" s="376"/>
      <c r="CE37" s="376"/>
      <c r="CF37" s="377"/>
      <c r="CG37" s="377"/>
      <c r="CH37" s="377"/>
      <c r="CI37" s="376"/>
      <c r="CJ37" s="376"/>
      <c r="CK37" s="377"/>
      <c r="CL37" s="377"/>
      <c r="CM37" s="377"/>
      <c r="CN37" s="376"/>
      <c r="CO37" s="376"/>
      <c r="CP37" s="376"/>
      <c r="CQ37" s="377"/>
      <c r="CR37" s="376"/>
      <c r="CS37" s="376"/>
      <c r="CT37" s="377"/>
      <c r="CU37" s="377"/>
      <c r="CV37" s="377"/>
      <c r="CW37" s="377"/>
      <c r="CX37" s="377"/>
      <c r="CY37" s="377"/>
      <c r="CZ37" s="377"/>
      <c r="DA37" s="377"/>
      <c r="DB37" s="377"/>
      <c r="DC37" s="377"/>
      <c r="DD37" s="377"/>
      <c r="DE37" s="377"/>
      <c r="DF37" s="376"/>
      <c r="DG37" s="376"/>
      <c r="DH37" s="377"/>
      <c r="DI37" s="377"/>
      <c r="DJ37" s="376"/>
      <c r="DK37" s="376"/>
      <c r="DL37" s="377"/>
      <c r="DM37" s="377"/>
      <c r="DN37" s="376"/>
      <c r="DO37" s="377"/>
      <c r="DP37" s="376"/>
      <c r="DQ37" s="376"/>
      <c r="DR37" s="376"/>
      <c r="DS37" s="379"/>
      <c r="DT37" s="379"/>
      <c r="DU37" s="373">
        <v>37</v>
      </c>
    </row>
    <row r="38" spans="5:125" x14ac:dyDescent="0.2">
      <c r="E38" s="376"/>
      <c r="F38" s="376"/>
      <c r="G38" s="377"/>
      <c r="H38" s="377"/>
      <c r="I38" s="377"/>
      <c r="J38" s="377"/>
      <c r="K38" s="377"/>
      <c r="L38" s="377"/>
      <c r="M38" s="377"/>
      <c r="N38" s="377"/>
      <c r="O38" s="377"/>
      <c r="P38" s="377"/>
      <c r="Q38" s="377"/>
      <c r="R38" s="377"/>
      <c r="S38" s="377"/>
      <c r="T38" s="377"/>
      <c r="U38" s="376"/>
      <c r="V38" s="378"/>
      <c r="W38" s="378"/>
      <c r="X38" s="376"/>
      <c r="Y38" s="376"/>
      <c r="Z38" s="377"/>
      <c r="AA38" s="377"/>
      <c r="AB38" s="376"/>
      <c r="AC38" s="376"/>
      <c r="AD38" s="377"/>
      <c r="AE38" s="376"/>
      <c r="AF38" s="376"/>
      <c r="AG38" s="376"/>
      <c r="AH38" s="377"/>
      <c r="AI38" s="377"/>
      <c r="AJ38" s="377"/>
      <c r="AK38" s="376"/>
      <c r="AL38" s="376"/>
      <c r="AM38" s="377"/>
      <c r="AN38" s="377"/>
      <c r="AO38" s="377"/>
      <c r="AP38" s="376"/>
      <c r="AQ38" s="376"/>
      <c r="AR38" s="377"/>
      <c r="AS38" s="377"/>
      <c r="AT38" s="377"/>
      <c r="AU38" s="376"/>
      <c r="AV38" s="376"/>
      <c r="AW38" s="377"/>
      <c r="AX38" s="377"/>
      <c r="AY38" s="377"/>
      <c r="AZ38" s="376"/>
      <c r="BA38" s="376"/>
      <c r="BB38" s="377"/>
      <c r="BC38" s="377"/>
      <c r="BD38" s="377"/>
      <c r="BE38" s="376"/>
      <c r="BF38" s="376"/>
      <c r="BG38" s="377"/>
      <c r="BH38" s="377"/>
      <c r="BI38" s="377"/>
      <c r="BJ38" s="376"/>
      <c r="BK38" s="376"/>
      <c r="BL38" s="377"/>
      <c r="BM38" s="377"/>
      <c r="BN38" s="377"/>
      <c r="BO38" s="376"/>
      <c r="BP38" s="376"/>
      <c r="BQ38" s="377"/>
      <c r="BR38" s="377"/>
      <c r="BS38" s="377"/>
      <c r="BT38" s="376"/>
      <c r="BU38" s="376"/>
      <c r="BV38" s="377"/>
      <c r="BW38" s="377"/>
      <c r="BX38" s="377"/>
      <c r="BY38" s="376"/>
      <c r="BZ38" s="376"/>
      <c r="CA38" s="377"/>
      <c r="CB38" s="377"/>
      <c r="CC38" s="377"/>
      <c r="CD38" s="376"/>
      <c r="CE38" s="376"/>
      <c r="CF38" s="377"/>
      <c r="CG38" s="377"/>
      <c r="CH38" s="377"/>
      <c r="CI38" s="376"/>
      <c r="CJ38" s="376"/>
      <c r="CK38" s="377"/>
      <c r="CL38" s="377"/>
      <c r="CM38" s="377"/>
      <c r="CN38" s="376"/>
      <c r="CO38" s="376"/>
      <c r="CP38" s="376"/>
      <c r="CQ38" s="377"/>
      <c r="CR38" s="376"/>
      <c r="CS38" s="376"/>
      <c r="CT38" s="377"/>
      <c r="CU38" s="377"/>
      <c r="CV38" s="377"/>
      <c r="CW38" s="377"/>
      <c r="CX38" s="377"/>
      <c r="CY38" s="377"/>
      <c r="CZ38" s="377"/>
      <c r="DA38" s="377"/>
      <c r="DB38" s="377"/>
      <c r="DC38" s="377"/>
      <c r="DD38" s="377"/>
      <c r="DE38" s="377"/>
      <c r="DF38" s="376"/>
      <c r="DG38" s="376"/>
      <c r="DH38" s="377"/>
      <c r="DI38" s="377"/>
      <c r="DJ38" s="376"/>
      <c r="DK38" s="376"/>
      <c r="DL38" s="377"/>
      <c r="DM38" s="377"/>
      <c r="DN38" s="376"/>
      <c r="DO38" s="377"/>
      <c r="DP38" s="376"/>
      <c r="DQ38" s="376"/>
      <c r="DR38" s="376"/>
      <c r="DS38" s="379"/>
      <c r="DT38" s="379"/>
      <c r="DU38" s="373">
        <v>38</v>
      </c>
    </row>
    <row r="39" spans="5:125" x14ac:dyDescent="0.2">
      <c r="E39" s="376"/>
      <c r="F39" s="376"/>
      <c r="G39" s="377"/>
      <c r="H39" s="377"/>
      <c r="I39" s="377"/>
      <c r="J39" s="377"/>
      <c r="K39" s="377"/>
      <c r="L39" s="377"/>
      <c r="M39" s="377"/>
      <c r="N39" s="377"/>
      <c r="O39" s="377"/>
      <c r="P39" s="377"/>
      <c r="Q39" s="377"/>
      <c r="R39" s="377"/>
      <c r="S39" s="377"/>
      <c r="T39" s="377"/>
      <c r="U39" s="376"/>
      <c r="V39" s="378"/>
      <c r="W39" s="378"/>
      <c r="X39" s="376"/>
      <c r="Y39" s="376"/>
      <c r="Z39" s="377"/>
      <c r="AA39" s="377"/>
      <c r="AB39" s="376"/>
      <c r="AC39" s="376"/>
      <c r="AD39" s="377"/>
      <c r="AE39" s="376"/>
      <c r="AF39" s="376"/>
      <c r="AG39" s="376"/>
      <c r="AH39" s="377"/>
      <c r="AI39" s="377"/>
      <c r="AJ39" s="377"/>
      <c r="AK39" s="376"/>
      <c r="AL39" s="376"/>
      <c r="AM39" s="377"/>
      <c r="AN39" s="377"/>
      <c r="AO39" s="377"/>
      <c r="AP39" s="376"/>
      <c r="AQ39" s="376"/>
      <c r="AR39" s="377"/>
      <c r="AS39" s="377"/>
      <c r="AT39" s="377"/>
      <c r="AU39" s="376"/>
      <c r="AV39" s="376"/>
      <c r="AW39" s="377"/>
      <c r="AX39" s="377"/>
      <c r="AY39" s="377"/>
      <c r="AZ39" s="376"/>
      <c r="BA39" s="376"/>
      <c r="BB39" s="377"/>
      <c r="BC39" s="377"/>
      <c r="BD39" s="377"/>
      <c r="BE39" s="376"/>
      <c r="BF39" s="376"/>
      <c r="BG39" s="377"/>
      <c r="BH39" s="377"/>
      <c r="BI39" s="377"/>
      <c r="BJ39" s="376"/>
      <c r="BK39" s="376"/>
      <c r="BL39" s="377"/>
      <c r="BM39" s="377"/>
      <c r="BN39" s="377"/>
      <c r="BO39" s="376"/>
      <c r="BP39" s="376"/>
      <c r="BQ39" s="377"/>
      <c r="BR39" s="377"/>
      <c r="BS39" s="377"/>
      <c r="BT39" s="376"/>
      <c r="BU39" s="376"/>
      <c r="BV39" s="377"/>
      <c r="BW39" s="377"/>
      <c r="BX39" s="377"/>
      <c r="BY39" s="376"/>
      <c r="BZ39" s="376"/>
      <c r="CA39" s="377"/>
      <c r="CB39" s="377"/>
      <c r="CC39" s="377"/>
      <c r="CD39" s="376"/>
      <c r="CE39" s="376"/>
      <c r="CF39" s="377"/>
      <c r="CG39" s="377"/>
      <c r="CH39" s="377"/>
      <c r="CI39" s="376"/>
      <c r="CJ39" s="376"/>
      <c r="CK39" s="377"/>
      <c r="CL39" s="377"/>
      <c r="CM39" s="377"/>
      <c r="CN39" s="376"/>
      <c r="CO39" s="376"/>
      <c r="CP39" s="376"/>
      <c r="CQ39" s="377"/>
      <c r="CR39" s="376"/>
      <c r="CS39" s="376"/>
      <c r="CT39" s="377"/>
      <c r="CU39" s="377"/>
      <c r="CV39" s="377"/>
      <c r="CW39" s="377"/>
      <c r="CX39" s="377"/>
      <c r="CY39" s="377"/>
      <c r="CZ39" s="377"/>
      <c r="DA39" s="377"/>
      <c r="DB39" s="377"/>
      <c r="DC39" s="377"/>
      <c r="DD39" s="377"/>
      <c r="DE39" s="377"/>
      <c r="DF39" s="376"/>
      <c r="DG39" s="376"/>
      <c r="DH39" s="377"/>
      <c r="DI39" s="377"/>
      <c r="DJ39" s="376"/>
      <c r="DK39" s="376"/>
      <c r="DL39" s="377"/>
      <c r="DM39" s="377"/>
      <c r="DN39" s="376"/>
      <c r="DO39" s="377"/>
      <c r="DP39" s="376"/>
      <c r="DQ39" s="376"/>
      <c r="DR39" s="376"/>
      <c r="DS39" s="379"/>
      <c r="DT39" s="379"/>
      <c r="DU39" s="373">
        <v>39</v>
      </c>
    </row>
    <row r="40" spans="5:125" x14ac:dyDescent="0.2">
      <c r="E40" s="376"/>
      <c r="F40" s="376"/>
      <c r="G40" s="377"/>
      <c r="H40" s="377"/>
      <c r="I40" s="377"/>
      <c r="J40" s="377"/>
      <c r="K40" s="377"/>
      <c r="L40" s="377"/>
      <c r="M40" s="377"/>
      <c r="N40" s="377"/>
      <c r="O40" s="377"/>
      <c r="P40" s="377"/>
      <c r="Q40" s="377"/>
      <c r="R40" s="377"/>
      <c r="S40" s="377"/>
      <c r="T40" s="377"/>
      <c r="U40" s="376"/>
      <c r="V40" s="378"/>
      <c r="W40" s="378"/>
      <c r="X40" s="376"/>
      <c r="Y40" s="376"/>
      <c r="Z40" s="377"/>
      <c r="AA40" s="377"/>
      <c r="AB40" s="376"/>
      <c r="AC40" s="376"/>
      <c r="AD40" s="377"/>
      <c r="AE40" s="376"/>
      <c r="AF40" s="376"/>
      <c r="AG40" s="376"/>
      <c r="AH40" s="377"/>
      <c r="AI40" s="377"/>
      <c r="AJ40" s="377"/>
      <c r="AK40" s="376"/>
      <c r="AL40" s="376"/>
      <c r="AM40" s="377"/>
      <c r="AN40" s="377"/>
      <c r="AO40" s="377"/>
      <c r="AP40" s="376"/>
      <c r="AQ40" s="376"/>
      <c r="AR40" s="377"/>
      <c r="AS40" s="377"/>
      <c r="AT40" s="377"/>
      <c r="AU40" s="376"/>
      <c r="AV40" s="376"/>
      <c r="AW40" s="377"/>
      <c r="AX40" s="377"/>
      <c r="AY40" s="377"/>
      <c r="AZ40" s="376"/>
      <c r="BA40" s="376"/>
      <c r="BB40" s="377"/>
      <c r="BC40" s="377"/>
      <c r="BD40" s="377"/>
      <c r="BE40" s="376"/>
      <c r="BF40" s="376"/>
      <c r="BG40" s="377"/>
      <c r="BH40" s="377"/>
      <c r="BI40" s="377"/>
      <c r="BJ40" s="376"/>
      <c r="BK40" s="376"/>
      <c r="BL40" s="377"/>
      <c r="BM40" s="377"/>
      <c r="BN40" s="377"/>
      <c r="BO40" s="376"/>
      <c r="BP40" s="376"/>
      <c r="BQ40" s="377"/>
      <c r="BR40" s="377"/>
      <c r="BS40" s="377"/>
      <c r="BT40" s="376"/>
      <c r="BU40" s="376"/>
      <c r="BV40" s="377"/>
      <c r="BW40" s="377"/>
      <c r="BX40" s="377"/>
      <c r="BY40" s="376"/>
      <c r="BZ40" s="376"/>
      <c r="CA40" s="377"/>
      <c r="CB40" s="377"/>
      <c r="CC40" s="377"/>
      <c r="CD40" s="376"/>
      <c r="CE40" s="376"/>
      <c r="CF40" s="377"/>
      <c r="CG40" s="377"/>
      <c r="CH40" s="377"/>
      <c r="CI40" s="376"/>
      <c r="CJ40" s="376"/>
      <c r="CK40" s="377"/>
      <c r="CL40" s="377"/>
      <c r="CM40" s="377"/>
      <c r="CN40" s="376"/>
      <c r="CO40" s="376"/>
      <c r="CP40" s="376"/>
      <c r="CQ40" s="377"/>
      <c r="CR40" s="376"/>
      <c r="CS40" s="376"/>
      <c r="CT40" s="377"/>
      <c r="CU40" s="377"/>
      <c r="CV40" s="377"/>
      <c r="CW40" s="377"/>
      <c r="CX40" s="377"/>
      <c r="CY40" s="377"/>
      <c r="CZ40" s="377"/>
      <c r="DA40" s="377"/>
      <c r="DB40" s="377"/>
      <c r="DC40" s="377"/>
      <c r="DD40" s="377"/>
      <c r="DE40" s="377"/>
      <c r="DF40" s="376"/>
      <c r="DG40" s="376"/>
      <c r="DH40" s="377"/>
      <c r="DI40" s="377"/>
      <c r="DJ40" s="376"/>
      <c r="DK40" s="376"/>
      <c r="DL40" s="377"/>
      <c r="DM40" s="377"/>
      <c r="DN40" s="376"/>
      <c r="DO40" s="377"/>
      <c r="DP40" s="376"/>
      <c r="DQ40" s="376"/>
      <c r="DR40" s="376"/>
      <c r="DS40" s="379"/>
      <c r="DT40" s="379"/>
      <c r="DU40" s="373">
        <v>40</v>
      </c>
    </row>
    <row r="41" spans="5:125" x14ac:dyDescent="0.2">
      <c r="E41" s="376"/>
      <c r="F41" s="376"/>
      <c r="G41" s="377"/>
      <c r="H41" s="377"/>
      <c r="I41" s="377"/>
      <c r="J41" s="377"/>
      <c r="K41" s="377"/>
      <c r="L41" s="377"/>
      <c r="M41" s="377"/>
      <c r="N41" s="377"/>
      <c r="O41" s="377"/>
      <c r="P41" s="377"/>
      <c r="Q41" s="377"/>
      <c r="R41" s="377"/>
      <c r="S41" s="377"/>
      <c r="T41" s="377"/>
      <c r="U41" s="376"/>
      <c r="V41" s="378"/>
      <c r="W41" s="378"/>
      <c r="X41" s="376"/>
      <c r="Y41" s="376"/>
      <c r="Z41" s="377"/>
      <c r="AA41" s="377"/>
      <c r="AB41" s="376"/>
      <c r="AC41" s="376"/>
      <c r="AD41" s="377"/>
      <c r="AE41" s="376"/>
      <c r="AF41" s="376"/>
      <c r="AG41" s="376"/>
      <c r="AH41" s="377"/>
      <c r="AI41" s="377"/>
      <c r="AJ41" s="377"/>
      <c r="AK41" s="376"/>
      <c r="AL41" s="376"/>
      <c r="AM41" s="377"/>
      <c r="AN41" s="377"/>
      <c r="AO41" s="377"/>
      <c r="AP41" s="376"/>
      <c r="AQ41" s="376"/>
      <c r="AR41" s="377"/>
      <c r="AS41" s="377"/>
      <c r="AT41" s="377"/>
      <c r="AU41" s="376"/>
      <c r="AV41" s="376"/>
      <c r="AW41" s="377"/>
      <c r="AX41" s="377"/>
      <c r="AY41" s="377"/>
      <c r="AZ41" s="376"/>
      <c r="BA41" s="376"/>
      <c r="BB41" s="377"/>
      <c r="BC41" s="377"/>
      <c r="BD41" s="377"/>
      <c r="BE41" s="376"/>
      <c r="BF41" s="376"/>
      <c r="BG41" s="377"/>
      <c r="BH41" s="377"/>
      <c r="BI41" s="377"/>
      <c r="BJ41" s="376"/>
      <c r="BK41" s="376"/>
      <c r="BL41" s="377"/>
      <c r="BM41" s="377"/>
      <c r="BN41" s="377"/>
      <c r="BO41" s="376"/>
      <c r="BP41" s="376"/>
      <c r="BQ41" s="377"/>
      <c r="BR41" s="377"/>
      <c r="BS41" s="377"/>
      <c r="BT41" s="376"/>
      <c r="BU41" s="376"/>
      <c r="BV41" s="377"/>
      <c r="BW41" s="377"/>
      <c r="BX41" s="377"/>
      <c r="BY41" s="376"/>
      <c r="BZ41" s="376"/>
      <c r="CA41" s="377"/>
      <c r="CB41" s="377"/>
      <c r="CC41" s="377"/>
      <c r="CD41" s="376"/>
      <c r="CE41" s="376"/>
      <c r="CF41" s="377"/>
      <c r="CG41" s="377"/>
      <c r="CH41" s="377"/>
      <c r="CI41" s="376"/>
      <c r="CJ41" s="376"/>
      <c r="CK41" s="377"/>
      <c r="CL41" s="377"/>
      <c r="CM41" s="377"/>
      <c r="CN41" s="376"/>
      <c r="CO41" s="376"/>
      <c r="CP41" s="376"/>
      <c r="CQ41" s="377"/>
      <c r="CR41" s="376"/>
      <c r="CS41" s="376"/>
      <c r="CT41" s="377"/>
      <c r="CU41" s="377"/>
      <c r="CV41" s="377"/>
      <c r="CW41" s="377"/>
      <c r="CX41" s="377"/>
      <c r="CY41" s="377"/>
      <c r="CZ41" s="377"/>
      <c r="DA41" s="377"/>
      <c r="DB41" s="377"/>
      <c r="DC41" s="377"/>
      <c r="DD41" s="377"/>
      <c r="DE41" s="377"/>
      <c r="DF41" s="376"/>
      <c r="DG41" s="376"/>
      <c r="DH41" s="377"/>
      <c r="DI41" s="377"/>
      <c r="DJ41" s="376"/>
      <c r="DK41" s="376"/>
      <c r="DL41" s="377"/>
      <c r="DM41" s="377"/>
      <c r="DN41" s="376"/>
      <c r="DO41" s="377"/>
      <c r="DP41" s="376"/>
      <c r="DQ41" s="376"/>
      <c r="DR41" s="376"/>
      <c r="DS41" s="379"/>
      <c r="DT41" s="379"/>
      <c r="DU41" s="373">
        <v>41</v>
      </c>
    </row>
    <row r="42" spans="5:125" x14ac:dyDescent="0.2">
      <c r="E42" s="376"/>
      <c r="F42" s="376"/>
      <c r="G42" s="377"/>
      <c r="H42" s="377"/>
      <c r="I42" s="377"/>
      <c r="J42" s="377"/>
      <c r="K42" s="377"/>
      <c r="L42" s="377"/>
      <c r="M42" s="377"/>
      <c r="N42" s="377"/>
      <c r="O42" s="377"/>
      <c r="P42" s="377"/>
      <c r="Q42" s="377"/>
      <c r="R42" s="377"/>
      <c r="S42" s="377"/>
      <c r="T42" s="377"/>
      <c r="U42" s="376"/>
      <c r="V42" s="378"/>
      <c r="W42" s="378"/>
      <c r="X42" s="376"/>
      <c r="Y42" s="376"/>
      <c r="Z42" s="377"/>
      <c r="AA42" s="377"/>
      <c r="AB42" s="376"/>
      <c r="AC42" s="376"/>
      <c r="AD42" s="377"/>
      <c r="AE42" s="376"/>
      <c r="AF42" s="376"/>
      <c r="AG42" s="376"/>
      <c r="AH42" s="377"/>
      <c r="AI42" s="377"/>
      <c r="AJ42" s="377"/>
      <c r="AK42" s="376"/>
      <c r="AL42" s="376"/>
      <c r="AM42" s="377"/>
      <c r="AN42" s="377"/>
      <c r="AO42" s="377"/>
      <c r="AP42" s="376"/>
      <c r="AQ42" s="376"/>
      <c r="AR42" s="377"/>
      <c r="AS42" s="377"/>
      <c r="AT42" s="377"/>
      <c r="AU42" s="376"/>
      <c r="AV42" s="376"/>
      <c r="AW42" s="377"/>
      <c r="AX42" s="377"/>
      <c r="AY42" s="377"/>
      <c r="AZ42" s="376"/>
      <c r="BA42" s="376"/>
      <c r="BB42" s="377"/>
      <c r="BC42" s="377"/>
      <c r="BD42" s="377"/>
      <c r="BE42" s="376"/>
      <c r="BF42" s="376"/>
      <c r="BG42" s="377"/>
      <c r="BH42" s="377"/>
      <c r="BI42" s="377"/>
      <c r="BJ42" s="376"/>
      <c r="BK42" s="376"/>
      <c r="BL42" s="377"/>
      <c r="BM42" s="377"/>
      <c r="BN42" s="377"/>
      <c r="BO42" s="376"/>
      <c r="BP42" s="376"/>
      <c r="BQ42" s="377"/>
      <c r="BR42" s="377"/>
      <c r="BS42" s="377"/>
      <c r="BT42" s="376"/>
      <c r="BU42" s="376"/>
      <c r="BV42" s="377"/>
      <c r="BW42" s="377"/>
      <c r="BX42" s="377"/>
      <c r="BY42" s="376"/>
      <c r="BZ42" s="376"/>
      <c r="CA42" s="377"/>
      <c r="CB42" s="377"/>
      <c r="CC42" s="377"/>
      <c r="CD42" s="376"/>
      <c r="CE42" s="376"/>
      <c r="CF42" s="377"/>
      <c r="CG42" s="377"/>
      <c r="CH42" s="377"/>
      <c r="CI42" s="376"/>
      <c r="CJ42" s="376"/>
      <c r="CK42" s="377"/>
      <c r="CL42" s="377"/>
      <c r="CM42" s="377"/>
      <c r="CN42" s="376"/>
      <c r="CO42" s="376"/>
      <c r="CP42" s="376"/>
      <c r="CQ42" s="377"/>
      <c r="CR42" s="376"/>
      <c r="CS42" s="376"/>
      <c r="CT42" s="377"/>
      <c r="CU42" s="377"/>
      <c r="CV42" s="377"/>
      <c r="CW42" s="377"/>
      <c r="CX42" s="377"/>
      <c r="CY42" s="377"/>
      <c r="CZ42" s="377"/>
      <c r="DA42" s="377"/>
      <c r="DB42" s="377"/>
      <c r="DC42" s="377"/>
      <c r="DD42" s="377"/>
      <c r="DE42" s="377"/>
      <c r="DF42" s="376"/>
      <c r="DG42" s="376"/>
      <c r="DH42" s="377"/>
      <c r="DI42" s="377"/>
      <c r="DJ42" s="376"/>
      <c r="DK42" s="376"/>
      <c r="DL42" s="377"/>
      <c r="DM42" s="377"/>
      <c r="DN42" s="376"/>
      <c r="DO42" s="377"/>
      <c r="DP42" s="376"/>
      <c r="DQ42" s="376"/>
      <c r="DR42" s="376"/>
      <c r="DS42" s="379"/>
      <c r="DT42" s="379"/>
      <c r="DU42" s="373">
        <v>42</v>
      </c>
    </row>
    <row r="43" spans="5:125" x14ac:dyDescent="0.2">
      <c r="E43" s="376"/>
      <c r="F43" s="376"/>
      <c r="G43" s="377"/>
      <c r="H43" s="377"/>
      <c r="I43" s="377"/>
      <c r="J43" s="377"/>
      <c r="K43" s="377"/>
      <c r="L43" s="377"/>
      <c r="M43" s="377"/>
      <c r="N43" s="377"/>
      <c r="O43" s="377"/>
      <c r="P43" s="377"/>
      <c r="Q43" s="377"/>
      <c r="R43" s="377"/>
      <c r="S43" s="377"/>
      <c r="T43" s="377"/>
      <c r="U43" s="376"/>
      <c r="V43" s="378"/>
      <c r="W43" s="378"/>
      <c r="X43" s="376"/>
      <c r="Y43" s="376"/>
      <c r="Z43" s="377"/>
      <c r="AA43" s="377"/>
      <c r="AB43" s="376"/>
      <c r="AC43" s="376"/>
      <c r="AD43" s="377"/>
      <c r="AE43" s="376"/>
      <c r="AF43" s="376"/>
      <c r="AG43" s="376"/>
      <c r="AH43" s="377"/>
      <c r="AI43" s="377"/>
      <c r="AJ43" s="377"/>
      <c r="AK43" s="376"/>
      <c r="AL43" s="376"/>
      <c r="AM43" s="377"/>
      <c r="AN43" s="377"/>
      <c r="AO43" s="377"/>
      <c r="AP43" s="376"/>
      <c r="AQ43" s="376"/>
      <c r="AR43" s="377"/>
      <c r="AS43" s="377"/>
      <c r="AT43" s="377"/>
      <c r="AU43" s="376"/>
      <c r="AV43" s="376"/>
      <c r="AW43" s="377"/>
      <c r="AX43" s="377"/>
      <c r="AY43" s="377"/>
      <c r="AZ43" s="376"/>
      <c r="BA43" s="376"/>
      <c r="BB43" s="377"/>
      <c r="BC43" s="377"/>
      <c r="BD43" s="377"/>
      <c r="BE43" s="376"/>
      <c r="BF43" s="376"/>
      <c r="BG43" s="377"/>
      <c r="BH43" s="377"/>
      <c r="BI43" s="377"/>
      <c r="BJ43" s="376"/>
      <c r="BK43" s="376"/>
      <c r="BL43" s="377"/>
      <c r="BM43" s="377"/>
      <c r="BN43" s="377"/>
      <c r="BO43" s="376"/>
      <c r="BP43" s="376"/>
      <c r="BQ43" s="377"/>
      <c r="BR43" s="377"/>
      <c r="BS43" s="377"/>
      <c r="BT43" s="376"/>
      <c r="BU43" s="376"/>
      <c r="BV43" s="377"/>
      <c r="BW43" s="377"/>
      <c r="BX43" s="377"/>
      <c r="BY43" s="376"/>
      <c r="BZ43" s="376"/>
      <c r="CA43" s="377"/>
      <c r="CB43" s="377"/>
      <c r="CC43" s="377"/>
      <c r="CD43" s="376"/>
      <c r="CE43" s="376"/>
      <c r="CF43" s="377"/>
      <c r="CG43" s="377"/>
      <c r="CH43" s="377"/>
      <c r="CI43" s="376"/>
      <c r="CJ43" s="376"/>
      <c r="CK43" s="377"/>
      <c r="CL43" s="377"/>
      <c r="CM43" s="377"/>
      <c r="CN43" s="376"/>
      <c r="CO43" s="376"/>
      <c r="CP43" s="376"/>
      <c r="CQ43" s="377"/>
      <c r="CR43" s="376"/>
      <c r="CS43" s="376"/>
      <c r="CT43" s="377"/>
      <c r="CU43" s="377"/>
      <c r="CV43" s="377"/>
      <c r="CW43" s="377"/>
      <c r="CX43" s="377"/>
      <c r="CY43" s="377"/>
      <c r="CZ43" s="377"/>
      <c r="DA43" s="377"/>
      <c r="DB43" s="377"/>
      <c r="DC43" s="377"/>
      <c r="DD43" s="377"/>
      <c r="DE43" s="377"/>
      <c r="DF43" s="376"/>
      <c r="DG43" s="376"/>
      <c r="DH43" s="377"/>
      <c r="DI43" s="377"/>
      <c r="DJ43" s="376"/>
      <c r="DK43" s="376"/>
      <c r="DL43" s="377"/>
      <c r="DM43" s="377"/>
      <c r="DN43" s="376"/>
      <c r="DO43" s="377"/>
      <c r="DP43" s="376"/>
      <c r="DQ43" s="376"/>
      <c r="DR43" s="376"/>
      <c r="DS43" s="379"/>
      <c r="DT43" s="379"/>
      <c r="DU43" s="373">
        <v>43</v>
      </c>
    </row>
    <row r="44" spans="5:125" x14ac:dyDescent="0.2">
      <c r="E44" s="376"/>
      <c r="F44" s="376"/>
      <c r="G44" s="377"/>
      <c r="H44" s="377"/>
      <c r="I44" s="377"/>
      <c r="J44" s="377"/>
      <c r="K44" s="377"/>
      <c r="L44" s="377"/>
      <c r="M44" s="377"/>
      <c r="N44" s="377"/>
      <c r="O44" s="377"/>
      <c r="P44" s="377"/>
      <c r="Q44" s="377"/>
      <c r="R44" s="377"/>
      <c r="S44" s="377"/>
      <c r="T44" s="377"/>
      <c r="U44" s="376"/>
      <c r="V44" s="378"/>
      <c r="W44" s="378"/>
      <c r="X44" s="376"/>
      <c r="Y44" s="376"/>
      <c r="Z44" s="377"/>
      <c r="AA44" s="377"/>
      <c r="AB44" s="376"/>
      <c r="AC44" s="376"/>
      <c r="AD44" s="377"/>
      <c r="AE44" s="376"/>
      <c r="AF44" s="376"/>
      <c r="AG44" s="376"/>
      <c r="AH44" s="377"/>
      <c r="AI44" s="377"/>
      <c r="AJ44" s="377"/>
      <c r="AK44" s="376"/>
      <c r="AL44" s="376"/>
      <c r="AM44" s="377"/>
      <c r="AN44" s="377"/>
      <c r="AO44" s="377"/>
      <c r="AP44" s="376"/>
      <c r="AQ44" s="376"/>
      <c r="AR44" s="377"/>
      <c r="AS44" s="377"/>
      <c r="AT44" s="377"/>
      <c r="AU44" s="376"/>
      <c r="AV44" s="376"/>
      <c r="AW44" s="377"/>
      <c r="AX44" s="377"/>
      <c r="AY44" s="377"/>
      <c r="AZ44" s="376"/>
      <c r="BA44" s="376"/>
      <c r="BB44" s="377"/>
      <c r="BC44" s="377"/>
      <c r="BD44" s="377"/>
      <c r="BE44" s="376"/>
      <c r="BF44" s="376"/>
      <c r="BG44" s="377"/>
      <c r="BH44" s="377"/>
      <c r="BI44" s="377"/>
      <c r="BJ44" s="376"/>
      <c r="BK44" s="376"/>
      <c r="BL44" s="377"/>
      <c r="BM44" s="377"/>
      <c r="BN44" s="377"/>
      <c r="BO44" s="376"/>
      <c r="BP44" s="376"/>
      <c r="BQ44" s="377"/>
      <c r="BR44" s="377"/>
      <c r="BS44" s="377"/>
      <c r="BT44" s="376"/>
      <c r="BU44" s="376"/>
      <c r="BV44" s="377"/>
      <c r="BW44" s="377"/>
      <c r="BX44" s="377"/>
      <c r="BY44" s="376"/>
      <c r="BZ44" s="376"/>
      <c r="CA44" s="377"/>
      <c r="CB44" s="377"/>
      <c r="CC44" s="377"/>
      <c r="CD44" s="376"/>
      <c r="CE44" s="376"/>
      <c r="CF44" s="377"/>
      <c r="CG44" s="377"/>
      <c r="CH44" s="377"/>
      <c r="CI44" s="376"/>
      <c r="CJ44" s="376"/>
      <c r="CK44" s="377"/>
      <c r="CL44" s="377"/>
      <c r="CM44" s="377"/>
      <c r="CN44" s="376"/>
      <c r="CO44" s="376"/>
      <c r="CP44" s="376"/>
      <c r="CQ44" s="377"/>
      <c r="CR44" s="376"/>
      <c r="CS44" s="376"/>
      <c r="CT44" s="377"/>
      <c r="CU44" s="377"/>
      <c r="CV44" s="377"/>
      <c r="CW44" s="377"/>
      <c r="CX44" s="377"/>
      <c r="CY44" s="377"/>
      <c r="CZ44" s="377"/>
      <c r="DA44" s="377"/>
      <c r="DB44" s="377"/>
      <c r="DC44" s="377"/>
      <c r="DD44" s="377"/>
      <c r="DE44" s="377"/>
      <c r="DF44" s="376"/>
      <c r="DG44" s="376"/>
      <c r="DH44" s="377"/>
      <c r="DI44" s="377"/>
      <c r="DJ44" s="376"/>
      <c r="DK44" s="376"/>
      <c r="DL44" s="377"/>
      <c r="DM44" s="377"/>
      <c r="DN44" s="376"/>
      <c r="DO44" s="377"/>
      <c r="DP44" s="376"/>
      <c r="DQ44" s="376"/>
      <c r="DR44" s="376"/>
      <c r="DS44" s="379"/>
      <c r="DT44" s="379"/>
      <c r="DU44" s="373">
        <v>44</v>
      </c>
    </row>
    <row r="45" spans="5:125" x14ac:dyDescent="0.2">
      <c r="E45" s="376"/>
      <c r="F45" s="376"/>
      <c r="G45" s="377"/>
      <c r="H45" s="377"/>
      <c r="I45" s="377"/>
      <c r="J45" s="377"/>
      <c r="K45" s="377"/>
      <c r="L45" s="377"/>
      <c r="M45" s="377"/>
      <c r="N45" s="377"/>
      <c r="O45" s="377"/>
      <c r="P45" s="377"/>
      <c r="Q45" s="377"/>
      <c r="R45" s="377"/>
      <c r="S45" s="377"/>
      <c r="T45" s="377"/>
      <c r="U45" s="376"/>
      <c r="V45" s="378"/>
      <c r="W45" s="378"/>
      <c r="X45" s="376"/>
      <c r="Y45" s="376"/>
      <c r="Z45" s="377"/>
      <c r="AA45" s="377"/>
      <c r="AB45" s="376"/>
      <c r="AC45" s="376"/>
      <c r="AD45" s="377"/>
      <c r="AE45" s="376"/>
      <c r="AF45" s="376"/>
      <c r="AG45" s="376"/>
      <c r="AH45" s="377"/>
      <c r="AI45" s="377"/>
      <c r="AJ45" s="377"/>
      <c r="AK45" s="376"/>
      <c r="AL45" s="376"/>
      <c r="AM45" s="377"/>
      <c r="AN45" s="377"/>
      <c r="AO45" s="377"/>
      <c r="AP45" s="376"/>
      <c r="AQ45" s="376"/>
      <c r="AR45" s="377"/>
      <c r="AS45" s="377"/>
      <c r="AT45" s="377"/>
      <c r="AU45" s="376"/>
      <c r="AV45" s="376"/>
      <c r="AW45" s="377"/>
      <c r="AX45" s="377"/>
      <c r="AY45" s="377"/>
      <c r="AZ45" s="376"/>
      <c r="BA45" s="376"/>
      <c r="BB45" s="377"/>
      <c r="BC45" s="377"/>
      <c r="BD45" s="377"/>
      <c r="BE45" s="376"/>
      <c r="BF45" s="376"/>
      <c r="BG45" s="377"/>
      <c r="BH45" s="377"/>
      <c r="BI45" s="377"/>
      <c r="BJ45" s="376"/>
      <c r="BK45" s="376"/>
      <c r="BL45" s="377"/>
      <c r="BM45" s="377"/>
      <c r="BN45" s="377"/>
      <c r="BO45" s="376"/>
      <c r="BP45" s="376"/>
      <c r="BQ45" s="377"/>
      <c r="BR45" s="377"/>
      <c r="BS45" s="377"/>
      <c r="BT45" s="376"/>
      <c r="BU45" s="376"/>
      <c r="BV45" s="377"/>
      <c r="BW45" s="377"/>
      <c r="BX45" s="377"/>
      <c r="BY45" s="376"/>
      <c r="BZ45" s="376"/>
      <c r="CA45" s="377"/>
      <c r="CB45" s="377"/>
      <c r="CC45" s="377"/>
      <c r="CD45" s="376"/>
      <c r="CE45" s="376"/>
      <c r="CF45" s="377"/>
      <c r="CG45" s="377"/>
      <c r="CH45" s="377"/>
      <c r="CI45" s="376"/>
      <c r="CJ45" s="376"/>
      <c r="CK45" s="377"/>
      <c r="CL45" s="377"/>
      <c r="CM45" s="377"/>
      <c r="CN45" s="376"/>
      <c r="CO45" s="376"/>
      <c r="CP45" s="376"/>
      <c r="CQ45" s="377"/>
      <c r="CR45" s="376"/>
      <c r="CS45" s="376"/>
      <c r="CT45" s="377"/>
      <c r="CU45" s="377"/>
      <c r="CV45" s="377"/>
      <c r="CW45" s="377"/>
      <c r="CX45" s="377"/>
      <c r="CY45" s="377"/>
      <c r="CZ45" s="377"/>
      <c r="DA45" s="377"/>
      <c r="DB45" s="377"/>
      <c r="DC45" s="377"/>
      <c r="DD45" s="377"/>
      <c r="DE45" s="377"/>
      <c r="DF45" s="376"/>
      <c r="DG45" s="376"/>
      <c r="DH45" s="377"/>
      <c r="DI45" s="377"/>
      <c r="DJ45" s="376"/>
      <c r="DK45" s="376"/>
      <c r="DL45" s="377"/>
      <c r="DM45" s="377"/>
      <c r="DN45" s="376"/>
      <c r="DO45" s="377"/>
      <c r="DP45" s="376"/>
      <c r="DQ45" s="376"/>
      <c r="DR45" s="376"/>
      <c r="DS45" s="379"/>
      <c r="DT45" s="379"/>
      <c r="DU45" s="373">
        <v>45</v>
      </c>
    </row>
    <row r="46" spans="5:125" x14ac:dyDescent="0.2">
      <c r="E46" s="376"/>
      <c r="F46" s="376"/>
      <c r="G46" s="377"/>
      <c r="H46" s="377"/>
      <c r="I46" s="377"/>
      <c r="J46" s="377"/>
      <c r="K46" s="377"/>
      <c r="L46" s="377"/>
      <c r="M46" s="377"/>
      <c r="N46" s="377"/>
      <c r="O46" s="377"/>
      <c r="P46" s="377"/>
      <c r="Q46" s="377"/>
      <c r="R46" s="377"/>
      <c r="S46" s="377"/>
      <c r="T46" s="377"/>
      <c r="U46" s="376"/>
      <c r="V46" s="378"/>
      <c r="W46" s="378"/>
      <c r="X46" s="376"/>
      <c r="Y46" s="376"/>
      <c r="Z46" s="377"/>
      <c r="AA46" s="377"/>
      <c r="AB46" s="376"/>
      <c r="AC46" s="376"/>
      <c r="AD46" s="377"/>
      <c r="AE46" s="376"/>
      <c r="AF46" s="376"/>
      <c r="AG46" s="376"/>
      <c r="AH46" s="377"/>
      <c r="AI46" s="377"/>
      <c r="AJ46" s="377"/>
      <c r="AK46" s="376"/>
      <c r="AL46" s="376"/>
      <c r="AM46" s="377"/>
      <c r="AN46" s="377"/>
      <c r="AO46" s="377"/>
      <c r="AP46" s="376"/>
      <c r="AQ46" s="376"/>
      <c r="AR46" s="377"/>
      <c r="AS46" s="377"/>
      <c r="AT46" s="377"/>
      <c r="AU46" s="376"/>
      <c r="AV46" s="376"/>
      <c r="AW46" s="377"/>
      <c r="AX46" s="377"/>
      <c r="AY46" s="377"/>
      <c r="AZ46" s="376"/>
      <c r="BA46" s="376"/>
      <c r="BB46" s="377"/>
      <c r="BC46" s="377"/>
      <c r="BD46" s="377"/>
      <c r="BE46" s="376"/>
      <c r="BF46" s="376"/>
      <c r="BG46" s="377"/>
      <c r="BH46" s="377"/>
      <c r="BI46" s="377"/>
      <c r="BJ46" s="376"/>
      <c r="BK46" s="376"/>
      <c r="BL46" s="377"/>
      <c r="BM46" s="377"/>
      <c r="BN46" s="377"/>
      <c r="BO46" s="376"/>
      <c r="BP46" s="376"/>
      <c r="BQ46" s="377"/>
      <c r="BR46" s="377"/>
      <c r="BS46" s="377"/>
      <c r="BT46" s="376"/>
      <c r="BU46" s="376"/>
      <c r="BV46" s="377"/>
      <c r="BW46" s="377"/>
      <c r="BX46" s="377"/>
      <c r="BY46" s="376"/>
      <c r="BZ46" s="376"/>
      <c r="CA46" s="377"/>
      <c r="CB46" s="377"/>
      <c r="CC46" s="377"/>
      <c r="CD46" s="376"/>
      <c r="CE46" s="376"/>
      <c r="CF46" s="377"/>
      <c r="CG46" s="377"/>
      <c r="CH46" s="377"/>
      <c r="CI46" s="376"/>
      <c r="CJ46" s="376"/>
      <c r="CK46" s="377"/>
      <c r="CL46" s="377"/>
      <c r="CM46" s="377"/>
      <c r="CN46" s="376"/>
      <c r="CO46" s="376"/>
      <c r="CP46" s="376"/>
      <c r="CQ46" s="377"/>
      <c r="CR46" s="376"/>
      <c r="CS46" s="376"/>
      <c r="CT46" s="377"/>
      <c r="CU46" s="377"/>
      <c r="CV46" s="377"/>
      <c r="CW46" s="377"/>
      <c r="CX46" s="377"/>
      <c r="CY46" s="377"/>
      <c r="CZ46" s="377"/>
      <c r="DA46" s="377"/>
      <c r="DB46" s="377"/>
      <c r="DC46" s="377"/>
      <c r="DD46" s="377"/>
      <c r="DE46" s="377"/>
      <c r="DF46" s="376"/>
      <c r="DG46" s="376"/>
      <c r="DH46" s="377"/>
      <c r="DI46" s="377"/>
      <c r="DJ46" s="376"/>
      <c r="DK46" s="376"/>
      <c r="DL46" s="377"/>
      <c r="DM46" s="377"/>
      <c r="DN46" s="376"/>
      <c r="DO46" s="377"/>
      <c r="DP46" s="376"/>
      <c r="DQ46" s="376"/>
      <c r="DR46" s="376"/>
      <c r="DS46" s="379"/>
      <c r="DT46" s="379"/>
      <c r="DU46" s="373">
        <v>46</v>
      </c>
    </row>
    <row r="47" spans="5:125" x14ac:dyDescent="0.2">
      <c r="E47" s="376"/>
      <c r="F47" s="376"/>
      <c r="G47" s="377"/>
      <c r="H47" s="377"/>
      <c r="I47" s="377"/>
      <c r="J47" s="377"/>
      <c r="K47" s="377"/>
      <c r="L47" s="377"/>
      <c r="M47" s="377"/>
      <c r="N47" s="377"/>
      <c r="O47" s="377"/>
      <c r="P47" s="377"/>
      <c r="Q47" s="377"/>
      <c r="R47" s="377"/>
      <c r="S47" s="377"/>
      <c r="T47" s="377"/>
      <c r="U47" s="376"/>
      <c r="V47" s="378"/>
      <c r="W47" s="378"/>
      <c r="X47" s="376"/>
      <c r="Y47" s="376"/>
      <c r="Z47" s="377"/>
      <c r="AA47" s="377"/>
      <c r="AB47" s="376"/>
      <c r="AC47" s="376"/>
      <c r="AD47" s="377"/>
      <c r="AE47" s="376"/>
      <c r="AF47" s="376"/>
      <c r="AG47" s="376"/>
      <c r="AH47" s="377"/>
      <c r="AI47" s="377"/>
      <c r="AJ47" s="377"/>
      <c r="AK47" s="376"/>
      <c r="AL47" s="376"/>
      <c r="AM47" s="377"/>
      <c r="AN47" s="377"/>
      <c r="AO47" s="377"/>
      <c r="AP47" s="376"/>
      <c r="AQ47" s="376"/>
      <c r="AR47" s="377"/>
      <c r="AS47" s="377"/>
      <c r="AT47" s="377"/>
      <c r="AU47" s="376"/>
      <c r="AV47" s="376"/>
      <c r="AW47" s="377"/>
      <c r="AX47" s="377"/>
      <c r="AY47" s="377"/>
      <c r="AZ47" s="376"/>
      <c r="BA47" s="376"/>
      <c r="BB47" s="377"/>
      <c r="BC47" s="377"/>
      <c r="BD47" s="377"/>
      <c r="BE47" s="376"/>
      <c r="BF47" s="376"/>
      <c r="BG47" s="377"/>
      <c r="BH47" s="377"/>
      <c r="BI47" s="377"/>
      <c r="BJ47" s="376"/>
      <c r="BK47" s="376"/>
      <c r="BL47" s="377"/>
      <c r="BM47" s="377"/>
      <c r="BN47" s="377"/>
      <c r="BO47" s="376"/>
      <c r="BP47" s="376"/>
      <c r="BQ47" s="377"/>
      <c r="BR47" s="377"/>
      <c r="BS47" s="377"/>
      <c r="BT47" s="376"/>
      <c r="BU47" s="376"/>
      <c r="BV47" s="377"/>
      <c r="BW47" s="377"/>
      <c r="BX47" s="377"/>
      <c r="BY47" s="376"/>
      <c r="BZ47" s="376"/>
      <c r="CA47" s="377"/>
      <c r="CB47" s="377"/>
      <c r="CC47" s="377"/>
      <c r="CD47" s="376"/>
      <c r="CE47" s="376"/>
      <c r="CF47" s="377"/>
      <c r="CG47" s="377"/>
      <c r="CH47" s="377"/>
      <c r="CI47" s="376"/>
      <c r="CJ47" s="376"/>
      <c r="CK47" s="377"/>
      <c r="CL47" s="377"/>
      <c r="CM47" s="377"/>
      <c r="CN47" s="376"/>
      <c r="CO47" s="376"/>
      <c r="CP47" s="376"/>
      <c r="CQ47" s="377"/>
      <c r="CR47" s="376"/>
      <c r="CS47" s="376"/>
      <c r="CT47" s="377"/>
      <c r="CU47" s="377"/>
      <c r="CV47" s="377"/>
      <c r="CW47" s="377"/>
      <c r="CX47" s="377"/>
      <c r="CY47" s="377"/>
      <c r="CZ47" s="377"/>
      <c r="DA47" s="377"/>
      <c r="DB47" s="377"/>
      <c r="DC47" s="377"/>
      <c r="DD47" s="377"/>
      <c r="DE47" s="377"/>
      <c r="DF47" s="376"/>
      <c r="DG47" s="376"/>
      <c r="DH47" s="377"/>
      <c r="DI47" s="377"/>
      <c r="DJ47" s="376"/>
      <c r="DK47" s="376"/>
      <c r="DL47" s="377"/>
      <c r="DM47" s="377"/>
      <c r="DN47" s="376"/>
      <c r="DO47" s="377"/>
      <c r="DP47" s="376"/>
      <c r="DQ47" s="376"/>
      <c r="DR47" s="376"/>
      <c r="DS47" s="379"/>
      <c r="DT47" s="379"/>
      <c r="DU47" s="373">
        <v>47</v>
      </c>
    </row>
    <row r="48" spans="5:125" x14ac:dyDescent="0.2">
      <c r="E48" s="376"/>
      <c r="F48" s="376"/>
      <c r="G48" s="377"/>
      <c r="H48" s="377"/>
      <c r="I48" s="377"/>
      <c r="J48" s="377"/>
      <c r="K48" s="377"/>
      <c r="L48" s="377"/>
      <c r="M48" s="377"/>
      <c r="N48" s="377"/>
      <c r="O48" s="377"/>
      <c r="P48" s="377"/>
      <c r="Q48" s="377"/>
      <c r="R48" s="377"/>
      <c r="S48" s="377"/>
      <c r="T48" s="377"/>
      <c r="U48" s="376"/>
      <c r="V48" s="378"/>
      <c r="W48" s="378"/>
      <c r="X48" s="376"/>
      <c r="Y48" s="376"/>
      <c r="Z48" s="377"/>
      <c r="AA48" s="377"/>
      <c r="AB48" s="376"/>
      <c r="AC48" s="376"/>
      <c r="AD48" s="377"/>
      <c r="AE48" s="376"/>
      <c r="AF48" s="376"/>
      <c r="AG48" s="376"/>
      <c r="AH48" s="377"/>
      <c r="AI48" s="377"/>
      <c r="AJ48" s="377"/>
      <c r="AK48" s="376"/>
      <c r="AL48" s="376"/>
      <c r="AM48" s="377"/>
      <c r="AN48" s="377"/>
      <c r="AO48" s="377"/>
      <c r="AP48" s="376"/>
      <c r="AQ48" s="376"/>
      <c r="AR48" s="377"/>
      <c r="AS48" s="377"/>
      <c r="AT48" s="377"/>
      <c r="AU48" s="376"/>
      <c r="AV48" s="376"/>
      <c r="AW48" s="377"/>
      <c r="AX48" s="377"/>
      <c r="AY48" s="377"/>
      <c r="AZ48" s="376"/>
      <c r="BA48" s="376"/>
      <c r="BB48" s="377"/>
      <c r="BC48" s="377"/>
      <c r="BD48" s="377"/>
      <c r="BE48" s="376"/>
      <c r="BF48" s="376"/>
      <c r="BG48" s="377"/>
      <c r="BH48" s="377"/>
      <c r="BI48" s="377"/>
      <c r="BJ48" s="376"/>
      <c r="BK48" s="376"/>
      <c r="BL48" s="377"/>
      <c r="BM48" s="377"/>
      <c r="BN48" s="377"/>
      <c r="BO48" s="376"/>
      <c r="BP48" s="376"/>
      <c r="BQ48" s="377"/>
      <c r="BR48" s="377"/>
      <c r="BS48" s="377"/>
      <c r="BT48" s="376"/>
      <c r="BU48" s="376"/>
      <c r="BV48" s="377"/>
      <c r="BW48" s="377"/>
      <c r="BX48" s="377"/>
      <c r="BY48" s="376"/>
      <c r="BZ48" s="376"/>
      <c r="CA48" s="377"/>
      <c r="CB48" s="377"/>
      <c r="CC48" s="377"/>
      <c r="CD48" s="376"/>
      <c r="CE48" s="376"/>
      <c r="CF48" s="377"/>
      <c r="CG48" s="377"/>
      <c r="CH48" s="377"/>
      <c r="CI48" s="376"/>
      <c r="CJ48" s="376"/>
      <c r="CK48" s="377"/>
      <c r="CL48" s="377"/>
      <c r="CM48" s="377"/>
      <c r="CN48" s="376"/>
      <c r="CO48" s="376"/>
      <c r="CP48" s="376"/>
      <c r="CQ48" s="377"/>
      <c r="CR48" s="376"/>
      <c r="CS48" s="376"/>
      <c r="CT48" s="377"/>
      <c r="CU48" s="377"/>
      <c r="CV48" s="377"/>
      <c r="CW48" s="377"/>
      <c r="CX48" s="377"/>
      <c r="CY48" s="377"/>
      <c r="CZ48" s="377"/>
      <c r="DA48" s="377"/>
      <c r="DB48" s="377"/>
      <c r="DC48" s="377"/>
      <c r="DD48" s="377"/>
      <c r="DE48" s="377"/>
      <c r="DF48" s="376"/>
      <c r="DG48" s="376"/>
      <c r="DH48" s="377"/>
      <c r="DI48" s="377"/>
      <c r="DJ48" s="376"/>
      <c r="DK48" s="376"/>
      <c r="DL48" s="377"/>
      <c r="DM48" s="377"/>
      <c r="DN48" s="376"/>
      <c r="DO48" s="377"/>
      <c r="DP48" s="376"/>
      <c r="DQ48" s="376"/>
      <c r="DR48" s="376"/>
      <c r="DS48" s="379"/>
      <c r="DT48" s="379"/>
      <c r="DU48" s="373">
        <v>48</v>
      </c>
    </row>
    <row r="49" spans="5:125" x14ac:dyDescent="0.2">
      <c r="E49" s="376"/>
      <c r="F49" s="376"/>
      <c r="G49" s="377"/>
      <c r="H49" s="377"/>
      <c r="I49" s="377"/>
      <c r="J49" s="377"/>
      <c r="K49" s="377"/>
      <c r="L49" s="377"/>
      <c r="M49" s="377"/>
      <c r="N49" s="377"/>
      <c r="O49" s="377"/>
      <c r="P49" s="377"/>
      <c r="Q49" s="377"/>
      <c r="R49" s="377"/>
      <c r="S49" s="377"/>
      <c r="T49" s="377"/>
      <c r="U49" s="376"/>
      <c r="V49" s="378"/>
      <c r="W49" s="378"/>
      <c r="X49" s="376"/>
      <c r="Y49" s="376"/>
      <c r="Z49" s="377"/>
      <c r="AA49" s="377"/>
      <c r="AB49" s="376"/>
      <c r="AC49" s="376"/>
      <c r="AD49" s="377"/>
      <c r="AE49" s="376"/>
      <c r="AF49" s="376"/>
      <c r="AG49" s="376"/>
      <c r="AH49" s="377"/>
      <c r="AI49" s="377"/>
      <c r="AJ49" s="377"/>
      <c r="AK49" s="376"/>
      <c r="AL49" s="376"/>
      <c r="AM49" s="377"/>
      <c r="AN49" s="377"/>
      <c r="AO49" s="377"/>
      <c r="AP49" s="376"/>
      <c r="AQ49" s="376"/>
      <c r="AR49" s="377"/>
      <c r="AS49" s="377"/>
      <c r="AT49" s="377"/>
      <c r="AU49" s="376"/>
      <c r="AV49" s="376"/>
      <c r="AW49" s="377"/>
      <c r="AX49" s="377"/>
      <c r="AY49" s="377"/>
      <c r="AZ49" s="376"/>
      <c r="BA49" s="376"/>
      <c r="BB49" s="377"/>
      <c r="BC49" s="377"/>
      <c r="BD49" s="377"/>
      <c r="BE49" s="376"/>
      <c r="BF49" s="376"/>
      <c r="BG49" s="377"/>
      <c r="BH49" s="377"/>
      <c r="BI49" s="377"/>
      <c r="BJ49" s="376"/>
      <c r="BK49" s="376"/>
      <c r="BL49" s="377"/>
      <c r="BM49" s="377"/>
      <c r="BN49" s="377"/>
      <c r="BO49" s="376"/>
      <c r="BP49" s="376"/>
      <c r="BQ49" s="377"/>
      <c r="BR49" s="377"/>
      <c r="BS49" s="377"/>
      <c r="BT49" s="376"/>
      <c r="BU49" s="376"/>
      <c r="BV49" s="377"/>
      <c r="BW49" s="377"/>
      <c r="BX49" s="377"/>
      <c r="BY49" s="376"/>
      <c r="BZ49" s="376"/>
      <c r="CA49" s="377"/>
      <c r="CB49" s="377"/>
      <c r="CC49" s="377"/>
      <c r="CD49" s="376"/>
      <c r="CE49" s="376"/>
      <c r="CF49" s="377"/>
      <c r="CG49" s="377"/>
      <c r="CH49" s="377"/>
      <c r="CI49" s="376"/>
      <c r="CJ49" s="376"/>
      <c r="CK49" s="377"/>
      <c r="CL49" s="377"/>
      <c r="CM49" s="377"/>
      <c r="CN49" s="376"/>
      <c r="CO49" s="376"/>
      <c r="CP49" s="376"/>
      <c r="CQ49" s="377"/>
      <c r="CR49" s="376"/>
      <c r="CS49" s="376"/>
      <c r="CT49" s="377"/>
      <c r="CU49" s="377"/>
      <c r="CV49" s="377"/>
      <c r="CW49" s="377"/>
      <c r="CX49" s="377"/>
      <c r="CY49" s="377"/>
      <c r="CZ49" s="377"/>
      <c r="DA49" s="377"/>
      <c r="DB49" s="377"/>
      <c r="DC49" s="377"/>
      <c r="DD49" s="377"/>
      <c r="DE49" s="377"/>
      <c r="DF49" s="376"/>
      <c r="DG49" s="376"/>
      <c r="DH49" s="377"/>
      <c r="DI49" s="377"/>
      <c r="DJ49" s="376"/>
      <c r="DK49" s="376"/>
      <c r="DL49" s="377"/>
      <c r="DM49" s="377"/>
      <c r="DN49" s="376"/>
      <c r="DO49" s="377"/>
      <c r="DP49" s="376"/>
      <c r="DQ49" s="376"/>
      <c r="DR49" s="376"/>
      <c r="DS49" s="379"/>
      <c r="DT49" s="379"/>
      <c r="DU49" s="373">
        <v>49</v>
      </c>
    </row>
    <row r="50" spans="5:125" x14ac:dyDescent="0.2">
      <c r="E50" s="376"/>
      <c r="F50" s="376"/>
      <c r="G50" s="377"/>
      <c r="H50" s="377"/>
      <c r="I50" s="377"/>
      <c r="J50" s="377"/>
      <c r="K50" s="377"/>
      <c r="L50" s="377"/>
      <c r="M50" s="377"/>
      <c r="N50" s="377"/>
      <c r="O50" s="377"/>
      <c r="P50" s="377"/>
      <c r="Q50" s="377"/>
      <c r="R50" s="377"/>
      <c r="S50" s="377"/>
      <c r="T50" s="377"/>
      <c r="U50" s="376"/>
      <c r="V50" s="378"/>
      <c r="W50" s="378"/>
      <c r="X50" s="376"/>
      <c r="Y50" s="376"/>
      <c r="Z50" s="377"/>
      <c r="AA50" s="377"/>
      <c r="AB50" s="376"/>
      <c r="AC50" s="376"/>
      <c r="AD50" s="377"/>
      <c r="AE50" s="376"/>
      <c r="AF50" s="376"/>
      <c r="AG50" s="376"/>
      <c r="AH50" s="377"/>
      <c r="AI50" s="377"/>
      <c r="AJ50" s="377"/>
      <c r="AK50" s="376"/>
      <c r="AL50" s="376"/>
      <c r="AM50" s="377"/>
      <c r="AN50" s="377"/>
      <c r="AO50" s="377"/>
      <c r="AP50" s="376"/>
      <c r="AQ50" s="376"/>
      <c r="AR50" s="377"/>
      <c r="AS50" s="377"/>
      <c r="AT50" s="377"/>
      <c r="AU50" s="376"/>
      <c r="AV50" s="376"/>
      <c r="AW50" s="377"/>
      <c r="AX50" s="377"/>
      <c r="AY50" s="377"/>
      <c r="AZ50" s="376"/>
      <c r="BA50" s="376"/>
      <c r="BB50" s="377"/>
      <c r="BC50" s="377"/>
      <c r="BD50" s="377"/>
      <c r="BE50" s="376"/>
      <c r="BF50" s="376"/>
      <c r="BG50" s="377"/>
      <c r="BH50" s="377"/>
      <c r="BI50" s="377"/>
      <c r="BJ50" s="376"/>
      <c r="BK50" s="376"/>
      <c r="BL50" s="377"/>
      <c r="BM50" s="377"/>
      <c r="BN50" s="377"/>
      <c r="BO50" s="376"/>
      <c r="BP50" s="376"/>
      <c r="BQ50" s="377"/>
      <c r="BR50" s="377"/>
      <c r="BS50" s="377"/>
      <c r="BT50" s="376"/>
      <c r="BU50" s="376"/>
      <c r="BV50" s="377"/>
      <c r="BW50" s="377"/>
      <c r="BX50" s="377"/>
      <c r="BY50" s="376"/>
      <c r="BZ50" s="376"/>
      <c r="CA50" s="377"/>
      <c r="CB50" s="377"/>
      <c r="CC50" s="377"/>
      <c r="CD50" s="376"/>
      <c r="CE50" s="376"/>
      <c r="CF50" s="377"/>
      <c r="CG50" s="377"/>
      <c r="CH50" s="377"/>
      <c r="CI50" s="376"/>
      <c r="CJ50" s="376"/>
      <c r="CK50" s="377"/>
      <c r="CL50" s="377"/>
      <c r="CM50" s="377"/>
      <c r="CN50" s="376"/>
      <c r="CO50" s="376"/>
      <c r="CP50" s="376"/>
      <c r="CQ50" s="377"/>
      <c r="CR50" s="376"/>
      <c r="CS50" s="376"/>
      <c r="CT50" s="377"/>
      <c r="CU50" s="377"/>
      <c r="CV50" s="377"/>
      <c r="CW50" s="377"/>
      <c r="CX50" s="377"/>
      <c r="CY50" s="377"/>
      <c r="CZ50" s="377"/>
      <c r="DA50" s="377"/>
      <c r="DB50" s="377"/>
      <c r="DC50" s="377"/>
      <c r="DD50" s="377"/>
      <c r="DE50" s="377"/>
      <c r="DF50" s="376"/>
      <c r="DG50" s="376"/>
      <c r="DH50" s="377"/>
      <c r="DI50" s="377"/>
      <c r="DJ50" s="376"/>
      <c r="DK50" s="376"/>
      <c r="DL50" s="377"/>
      <c r="DM50" s="377"/>
      <c r="DN50" s="376"/>
      <c r="DO50" s="377"/>
      <c r="DP50" s="376"/>
      <c r="DQ50" s="376"/>
      <c r="DR50" s="376"/>
      <c r="DS50" s="379"/>
      <c r="DT50" s="379"/>
      <c r="DU50" s="373">
        <v>50</v>
      </c>
    </row>
    <row r="51" spans="5:125" x14ac:dyDescent="0.2">
      <c r="E51" s="376"/>
      <c r="F51" s="376"/>
      <c r="G51" s="377"/>
      <c r="H51" s="377"/>
      <c r="I51" s="377"/>
      <c r="J51" s="377"/>
      <c r="K51" s="377"/>
      <c r="L51" s="377"/>
      <c r="M51" s="377"/>
      <c r="N51" s="377"/>
      <c r="O51" s="377"/>
      <c r="P51" s="377"/>
      <c r="Q51" s="377"/>
      <c r="R51" s="377"/>
      <c r="S51" s="377"/>
      <c r="T51" s="377"/>
      <c r="U51" s="376"/>
      <c r="V51" s="378"/>
      <c r="W51" s="378"/>
      <c r="X51" s="376"/>
      <c r="Y51" s="376"/>
      <c r="Z51" s="377"/>
      <c r="AA51" s="377"/>
      <c r="AB51" s="376"/>
      <c r="AC51" s="376"/>
      <c r="AD51" s="377"/>
      <c r="AE51" s="376"/>
      <c r="AF51" s="376"/>
      <c r="AG51" s="376"/>
      <c r="AH51" s="377"/>
      <c r="AI51" s="377"/>
      <c r="AJ51" s="377"/>
      <c r="AK51" s="376"/>
      <c r="AL51" s="376"/>
      <c r="AM51" s="377"/>
      <c r="AN51" s="377"/>
      <c r="AO51" s="377"/>
      <c r="AP51" s="376"/>
      <c r="AQ51" s="376"/>
      <c r="AR51" s="377"/>
      <c r="AS51" s="377"/>
      <c r="AT51" s="377"/>
      <c r="AU51" s="376"/>
      <c r="AV51" s="376"/>
      <c r="AW51" s="377"/>
      <c r="AX51" s="377"/>
      <c r="AY51" s="377"/>
      <c r="AZ51" s="376"/>
      <c r="BA51" s="376"/>
      <c r="BB51" s="377"/>
      <c r="BC51" s="377"/>
      <c r="BD51" s="377"/>
      <c r="BE51" s="376"/>
      <c r="BF51" s="376"/>
      <c r="BG51" s="377"/>
      <c r="BH51" s="377"/>
      <c r="BI51" s="377"/>
      <c r="BJ51" s="376"/>
      <c r="BK51" s="376"/>
      <c r="BL51" s="377"/>
      <c r="BM51" s="377"/>
      <c r="BN51" s="377"/>
      <c r="BO51" s="376"/>
      <c r="BP51" s="376"/>
      <c r="BQ51" s="377"/>
      <c r="BR51" s="377"/>
      <c r="BS51" s="377"/>
      <c r="BT51" s="376"/>
      <c r="BU51" s="376"/>
      <c r="BV51" s="377"/>
      <c r="BW51" s="377"/>
      <c r="BX51" s="377"/>
      <c r="BY51" s="376"/>
      <c r="BZ51" s="376"/>
      <c r="CA51" s="377"/>
      <c r="CB51" s="377"/>
      <c r="CC51" s="377"/>
      <c r="CD51" s="376"/>
      <c r="CE51" s="376"/>
      <c r="CF51" s="377"/>
      <c r="CG51" s="377"/>
      <c r="CH51" s="377"/>
      <c r="CI51" s="376"/>
      <c r="CJ51" s="376"/>
      <c r="CK51" s="377"/>
      <c r="CL51" s="377"/>
      <c r="CM51" s="377"/>
      <c r="CN51" s="376"/>
      <c r="CO51" s="376"/>
      <c r="CP51" s="376"/>
      <c r="CQ51" s="377"/>
      <c r="CR51" s="376"/>
      <c r="CS51" s="376"/>
      <c r="CT51" s="377"/>
      <c r="CU51" s="377"/>
      <c r="CV51" s="377"/>
      <c r="CW51" s="377"/>
      <c r="CX51" s="377"/>
      <c r="CY51" s="377"/>
      <c r="CZ51" s="377"/>
      <c r="DA51" s="377"/>
      <c r="DB51" s="377"/>
      <c r="DC51" s="377"/>
      <c r="DD51" s="377"/>
      <c r="DE51" s="377"/>
      <c r="DF51" s="376"/>
      <c r="DG51" s="376"/>
      <c r="DH51" s="377"/>
      <c r="DI51" s="377"/>
      <c r="DJ51" s="376"/>
      <c r="DK51" s="376"/>
      <c r="DL51" s="377"/>
      <c r="DM51" s="377"/>
      <c r="DN51" s="376"/>
      <c r="DO51" s="377"/>
      <c r="DP51" s="376"/>
      <c r="DQ51" s="376"/>
      <c r="DR51" s="376"/>
      <c r="DS51" s="379"/>
      <c r="DT51" s="379"/>
      <c r="DU51" s="373">
        <v>51</v>
      </c>
    </row>
    <row r="52" spans="5:125" x14ac:dyDescent="0.2">
      <c r="E52" s="376"/>
      <c r="F52" s="376"/>
      <c r="G52" s="377"/>
      <c r="H52" s="377"/>
      <c r="I52" s="377"/>
      <c r="J52" s="377"/>
      <c r="K52" s="377"/>
      <c r="L52" s="377"/>
      <c r="M52" s="377"/>
      <c r="N52" s="377"/>
      <c r="O52" s="377"/>
      <c r="P52" s="377"/>
      <c r="Q52" s="377"/>
      <c r="R52" s="377"/>
      <c r="S52" s="377"/>
      <c r="T52" s="377"/>
      <c r="U52" s="376"/>
      <c r="V52" s="378"/>
      <c r="W52" s="378"/>
      <c r="X52" s="376"/>
      <c r="Y52" s="376"/>
      <c r="Z52" s="377"/>
      <c r="AA52" s="377"/>
      <c r="AB52" s="376"/>
      <c r="AC52" s="376"/>
      <c r="AD52" s="377"/>
      <c r="AE52" s="376"/>
      <c r="AF52" s="376"/>
      <c r="AG52" s="376"/>
      <c r="AH52" s="377"/>
      <c r="AI52" s="377"/>
      <c r="AJ52" s="377"/>
      <c r="AK52" s="376"/>
      <c r="AL52" s="376"/>
      <c r="AM52" s="377"/>
      <c r="AN52" s="377"/>
      <c r="AO52" s="377"/>
      <c r="AP52" s="376"/>
      <c r="AQ52" s="376"/>
      <c r="AR52" s="377"/>
      <c r="AS52" s="377"/>
      <c r="AT52" s="377"/>
      <c r="AU52" s="376"/>
      <c r="AV52" s="376"/>
      <c r="AW52" s="377"/>
      <c r="AX52" s="377"/>
      <c r="AY52" s="377"/>
      <c r="AZ52" s="376"/>
      <c r="BA52" s="376"/>
      <c r="BB52" s="377"/>
      <c r="BC52" s="377"/>
      <c r="BD52" s="377"/>
      <c r="BE52" s="376"/>
      <c r="BF52" s="376"/>
      <c r="BG52" s="377"/>
      <c r="BH52" s="377"/>
      <c r="BI52" s="377"/>
      <c r="BJ52" s="376"/>
      <c r="BK52" s="376"/>
      <c r="BL52" s="377"/>
      <c r="BM52" s="377"/>
      <c r="BN52" s="377"/>
      <c r="BO52" s="376"/>
      <c r="BP52" s="376"/>
      <c r="BQ52" s="377"/>
      <c r="BR52" s="377"/>
      <c r="BS52" s="377"/>
      <c r="BT52" s="376"/>
      <c r="BU52" s="376"/>
      <c r="BV52" s="377"/>
      <c r="BW52" s="377"/>
      <c r="BX52" s="377"/>
      <c r="BY52" s="376"/>
      <c r="BZ52" s="376"/>
      <c r="CA52" s="377"/>
      <c r="CB52" s="377"/>
      <c r="CC52" s="377"/>
      <c r="CD52" s="376"/>
      <c r="CE52" s="376"/>
      <c r="CF52" s="377"/>
      <c r="CG52" s="377"/>
      <c r="CH52" s="377"/>
      <c r="CI52" s="376"/>
      <c r="CJ52" s="376"/>
      <c r="CK52" s="377"/>
      <c r="CL52" s="377"/>
      <c r="CM52" s="377"/>
      <c r="CN52" s="376"/>
      <c r="CO52" s="376"/>
      <c r="CP52" s="376"/>
      <c r="CQ52" s="377"/>
      <c r="CR52" s="376"/>
      <c r="CS52" s="376"/>
      <c r="CT52" s="377"/>
      <c r="CU52" s="377"/>
      <c r="CV52" s="377"/>
      <c r="CW52" s="377"/>
      <c r="CX52" s="377"/>
      <c r="CY52" s="377"/>
      <c r="CZ52" s="377"/>
      <c r="DA52" s="377"/>
      <c r="DB52" s="377"/>
      <c r="DC52" s="377"/>
      <c r="DD52" s="377"/>
      <c r="DE52" s="377"/>
      <c r="DF52" s="376"/>
      <c r="DG52" s="376"/>
      <c r="DH52" s="377"/>
      <c r="DI52" s="377"/>
      <c r="DJ52" s="376"/>
      <c r="DK52" s="376"/>
      <c r="DL52" s="377"/>
      <c r="DM52" s="377"/>
      <c r="DN52" s="376"/>
      <c r="DO52" s="377"/>
      <c r="DP52" s="376"/>
      <c r="DQ52" s="376"/>
      <c r="DR52" s="376"/>
      <c r="DS52" s="379"/>
      <c r="DT52" s="379"/>
      <c r="DU52" s="373">
        <v>52</v>
      </c>
    </row>
    <row r="53" spans="5:125" x14ac:dyDescent="0.2">
      <c r="E53" s="376"/>
      <c r="F53" s="376"/>
      <c r="G53" s="377"/>
      <c r="H53" s="377"/>
      <c r="I53" s="377"/>
      <c r="J53" s="377"/>
      <c r="K53" s="377"/>
      <c r="L53" s="377"/>
      <c r="M53" s="377"/>
      <c r="N53" s="377"/>
      <c r="O53" s="377"/>
      <c r="P53" s="377"/>
      <c r="Q53" s="377"/>
      <c r="R53" s="377"/>
      <c r="S53" s="377"/>
      <c r="T53" s="377"/>
      <c r="U53" s="376"/>
      <c r="V53" s="378"/>
      <c r="W53" s="378"/>
      <c r="X53" s="376"/>
      <c r="Y53" s="376"/>
      <c r="Z53" s="377"/>
      <c r="AA53" s="377"/>
      <c r="AB53" s="376"/>
      <c r="AC53" s="376"/>
      <c r="AD53" s="377"/>
      <c r="AE53" s="376"/>
      <c r="AF53" s="376"/>
      <c r="AG53" s="376"/>
      <c r="AH53" s="377"/>
      <c r="AI53" s="377"/>
      <c r="AJ53" s="377"/>
      <c r="AK53" s="376"/>
      <c r="AL53" s="376"/>
      <c r="AM53" s="377"/>
      <c r="AN53" s="377"/>
      <c r="AO53" s="377"/>
      <c r="AP53" s="376"/>
      <c r="AQ53" s="376"/>
      <c r="AR53" s="377"/>
      <c r="AS53" s="377"/>
      <c r="AT53" s="377"/>
      <c r="AU53" s="376"/>
      <c r="AV53" s="376"/>
      <c r="AW53" s="377"/>
      <c r="AX53" s="377"/>
      <c r="AY53" s="377"/>
      <c r="AZ53" s="376"/>
      <c r="BA53" s="376"/>
      <c r="BB53" s="377"/>
      <c r="BC53" s="377"/>
      <c r="BD53" s="377"/>
      <c r="BE53" s="376"/>
      <c r="BF53" s="376"/>
      <c r="BG53" s="377"/>
      <c r="BH53" s="377"/>
      <c r="BI53" s="377"/>
      <c r="BJ53" s="376"/>
      <c r="BK53" s="376"/>
      <c r="BL53" s="377"/>
      <c r="BM53" s="377"/>
      <c r="BN53" s="377"/>
      <c r="BO53" s="376"/>
      <c r="BP53" s="376"/>
      <c r="BQ53" s="377"/>
      <c r="BR53" s="377"/>
      <c r="BS53" s="377"/>
      <c r="BT53" s="376"/>
      <c r="BU53" s="376"/>
      <c r="BV53" s="377"/>
      <c r="BW53" s="377"/>
      <c r="BX53" s="377"/>
      <c r="BY53" s="376"/>
      <c r="BZ53" s="376"/>
      <c r="CA53" s="377"/>
      <c r="CB53" s="377"/>
      <c r="CC53" s="377"/>
      <c r="CD53" s="376"/>
      <c r="CE53" s="376"/>
      <c r="CF53" s="377"/>
      <c r="CG53" s="377"/>
      <c r="CH53" s="377"/>
      <c r="CI53" s="376"/>
      <c r="CJ53" s="376"/>
      <c r="CK53" s="377"/>
      <c r="CL53" s="377"/>
      <c r="CM53" s="377"/>
      <c r="CN53" s="376"/>
      <c r="CO53" s="376"/>
      <c r="CP53" s="376"/>
      <c r="CQ53" s="377"/>
      <c r="CR53" s="376"/>
      <c r="CS53" s="376"/>
      <c r="CT53" s="377"/>
      <c r="CU53" s="377"/>
      <c r="CV53" s="377"/>
      <c r="CW53" s="377"/>
      <c r="CX53" s="377"/>
      <c r="CY53" s="377"/>
      <c r="CZ53" s="377"/>
      <c r="DA53" s="377"/>
      <c r="DB53" s="377"/>
      <c r="DC53" s="377"/>
      <c r="DD53" s="377"/>
      <c r="DE53" s="377"/>
      <c r="DF53" s="376"/>
      <c r="DG53" s="376"/>
      <c r="DH53" s="377"/>
      <c r="DI53" s="377"/>
      <c r="DJ53" s="376"/>
      <c r="DK53" s="376"/>
      <c r="DL53" s="377"/>
      <c r="DM53" s="377"/>
      <c r="DN53" s="376"/>
      <c r="DO53" s="377"/>
      <c r="DP53" s="376"/>
      <c r="DQ53" s="376"/>
      <c r="DR53" s="376"/>
      <c r="DS53" s="379"/>
      <c r="DT53" s="379"/>
      <c r="DU53" s="373">
        <v>53</v>
      </c>
    </row>
    <row r="54" spans="5:125" x14ac:dyDescent="0.2">
      <c r="E54" s="376"/>
      <c r="F54" s="376"/>
      <c r="G54" s="377"/>
      <c r="H54" s="377"/>
      <c r="I54" s="377"/>
      <c r="J54" s="377"/>
      <c r="K54" s="377"/>
      <c r="L54" s="377"/>
      <c r="M54" s="377"/>
      <c r="N54" s="377"/>
      <c r="O54" s="377"/>
      <c r="P54" s="377"/>
      <c r="Q54" s="377"/>
      <c r="R54" s="377"/>
      <c r="S54" s="377"/>
      <c r="T54" s="377"/>
      <c r="U54" s="376"/>
      <c r="V54" s="378"/>
      <c r="W54" s="378"/>
      <c r="X54" s="376"/>
      <c r="Y54" s="376"/>
      <c r="Z54" s="377"/>
      <c r="AA54" s="377"/>
      <c r="AB54" s="376"/>
      <c r="AC54" s="376"/>
      <c r="AD54" s="377"/>
      <c r="AE54" s="376"/>
      <c r="AF54" s="376"/>
      <c r="AG54" s="376"/>
      <c r="AH54" s="377"/>
      <c r="AI54" s="377"/>
      <c r="AJ54" s="377"/>
      <c r="AK54" s="376"/>
      <c r="AL54" s="376"/>
      <c r="AM54" s="377"/>
      <c r="AN54" s="377"/>
      <c r="AO54" s="377"/>
      <c r="AP54" s="376"/>
      <c r="AQ54" s="376"/>
      <c r="AR54" s="377"/>
      <c r="AS54" s="377"/>
      <c r="AT54" s="377"/>
      <c r="AU54" s="376"/>
      <c r="AV54" s="376"/>
      <c r="AW54" s="377"/>
      <c r="AX54" s="377"/>
      <c r="AY54" s="377"/>
      <c r="AZ54" s="376"/>
      <c r="BA54" s="376"/>
      <c r="BB54" s="377"/>
      <c r="BC54" s="377"/>
      <c r="BD54" s="377"/>
      <c r="BE54" s="376"/>
      <c r="BF54" s="376"/>
      <c r="BG54" s="377"/>
      <c r="BH54" s="377"/>
      <c r="BI54" s="377"/>
      <c r="BJ54" s="376"/>
      <c r="BK54" s="376"/>
      <c r="BL54" s="377"/>
      <c r="BM54" s="377"/>
      <c r="BN54" s="377"/>
      <c r="BO54" s="376"/>
      <c r="BP54" s="376"/>
      <c r="BQ54" s="377"/>
      <c r="BR54" s="377"/>
      <c r="BS54" s="377"/>
      <c r="BT54" s="376"/>
      <c r="BU54" s="376"/>
      <c r="BV54" s="377"/>
      <c r="BW54" s="377"/>
      <c r="BX54" s="377"/>
      <c r="BY54" s="376"/>
      <c r="BZ54" s="376"/>
      <c r="CA54" s="377"/>
      <c r="CB54" s="377"/>
      <c r="CC54" s="377"/>
      <c r="CD54" s="376"/>
      <c r="CE54" s="376"/>
      <c r="CF54" s="377"/>
      <c r="CG54" s="377"/>
      <c r="CH54" s="377"/>
      <c r="CI54" s="376"/>
      <c r="CJ54" s="376"/>
      <c r="CK54" s="377"/>
      <c r="CL54" s="377"/>
      <c r="CM54" s="377"/>
      <c r="CN54" s="376"/>
      <c r="CO54" s="376"/>
      <c r="CP54" s="376"/>
      <c r="CQ54" s="377"/>
      <c r="CR54" s="376"/>
      <c r="CS54" s="376"/>
      <c r="CT54" s="377"/>
      <c r="CU54" s="377"/>
      <c r="CV54" s="377"/>
      <c r="CW54" s="377"/>
      <c r="CX54" s="377"/>
      <c r="CY54" s="377"/>
      <c r="CZ54" s="377"/>
      <c r="DA54" s="377"/>
      <c r="DB54" s="377"/>
      <c r="DC54" s="377"/>
      <c r="DD54" s="377"/>
      <c r="DE54" s="377"/>
      <c r="DF54" s="376"/>
      <c r="DG54" s="376"/>
      <c r="DH54" s="377"/>
      <c r="DI54" s="377"/>
      <c r="DJ54" s="376"/>
      <c r="DK54" s="376"/>
      <c r="DL54" s="377"/>
      <c r="DM54" s="377"/>
      <c r="DN54" s="376"/>
      <c r="DO54" s="377"/>
      <c r="DP54" s="376"/>
      <c r="DQ54" s="376"/>
      <c r="DR54" s="376"/>
      <c r="DS54" s="379"/>
      <c r="DT54" s="379"/>
      <c r="DU54" s="373">
        <v>54</v>
      </c>
    </row>
    <row r="55" spans="5:125" x14ac:dyDescent="0.2">
      <c r="E55" s="376"/>
      <c r="F55" s="376"/>
      <c r="G55" s="377"/>
      <c r="H55" s="377"/>
      <c r="I55" s="377"/>
      <c r="J55" s="377"/>
      <c r="K55" s="377"/>
      <c r="L55" s="377"/>
      <c r="M55" s="377"/>
      <c r="N55" s="377"/>
      <c r="O55" s="377"/>
      <c r="P55" s="377"/>
      <c r="Q55" s="377"/>
      <c r="R55" s="377"/>
      <c r="S55" s="377"/>
      <c r="T55" s="377"/>
      <c r="U55" s="376"/>
      <c r="V55" s="378"/>
      <c r="W55" s="378"/>
      <c r="X55" s="376"/>
      <c r="Y55" s="376"/>
      <c r="Z55" s="377"/>
      <c r="AA55" s="377"/>
      <c r="AB55" s="376"/>
      <c r="AC55" s="376"/>
      <c r="AD55" s="377"/>
      <c r="AE55" s="376"/>
      <c r="AF55" s="376"/>
      <c r="AG55" s="376"/>
      <c r="AH55" s="377"/>
      <c r="AI55" s="377"/>
      <c r="AJ55" s="377"/>
      <c r="AK55" s="376"/>
      <c r="AL55" s="376"/>
      <c r="AM55" s="377"/>
      <c r="AN55" s="377"/>
      <c r="AO55" s="377"/>
      <c r="AP55" s="376"/>
      <c r="AQ55" s="376"/>
      <c r="AR55" s="377"/>
      <c r="AS55" s="377"/>
      <c r="AT55" s="377"/>
      <c r="AU55" s="376"/>
      <c r="AV55" s="376"/>
      <c r="AW55" s="377"/>
      <c r="AX55" s="377"/>
      <c r="AY55" s="377"/>
      <c r="AZ55" s="376"/>
      <c r="BA55" s="376"/>
      <c r="BB55" s="377"/>
      <c r="BC55" s="377"/>
      <c r="BD55" s="377"/>
      <c r="BE55" s="376"/>
      <c r="BF55" s="376"/>
      <c r="BG55" s="377"/>
      <c r="BH55" s="377"/>
      <c r="BI55" s="377"/>
      <c r="BJ55" s="376"/>
      <c r="BK55" s="376"/>
      <c r="BL55" s="377"/>
      <c r="BM55" s="377"/>
      <c r="BN55" s="377"/>
      <c r="BO55" s="376"/>
      <c r="BP55" s="376"/>
      <c r="BQ55" s="377"/>
      <c r="BR55" s="377"/>
      <c r="BS55" s="377"/>
      <c r="BT55" s="376"/>
      <c r="BU55" s="376"/>
      <c r="BV55" s="377"/>
      <c r="BW55" s="377"/>
      <c r="BX55" s="377"/>
      <c r="BY55" s="376"/>
      <c r="BZ55" s="376"/>
      <c r="CA55" s="377"/>
      <c r="CB55" s="377"/>
      <c r="CC55" s="377"/>
      <c r="CD55" s="376"/>
      <c r="CE55" s="376"/>
      <c r="CF55" s="377"/>
      <c r="CG55" s="377"/>
      <c r="CH55" s="377"/>
      <c r="CI55" s="376"/>
      <c r="CJ55" s="376"/>
      <c r="CK55" s="377"/>
      <c r="CL55" s="377"/>
      <c r="CM55" s="377"/>
      <c r="CN55" s="376"/>
      <c r="CO55" s="376"/>
      <c r="CP55" s="376"/>
      <c r="CQ55" s="377"/>
      <c r="CR55" s="376"/>
      <c r="CS55" s="376"/>
      <c r="CT55" s="377"/>
      <c r="CU55" s="377"/>
      <c r="CV55" s="377"/>
      <c r="CW55" s="377"/>
      <c r="CX55" s="377"/>
      <c r="CY55" s="377"/>
      <c r="CZ55" s="377"/>
      <c r="DA55" s="377"/>
      <c r="DB55" s="377"/>
      <c r="DC55" s="377"/>
      <c r="DD55" s="377"/>
      <c r="DE55" s="377"/>
      <c r="DF55" s="376"/>
      <c r="DG55" s="376"/>
      <c r="DH55" s="377"/>
      <c r="DI55" s="377"/>
      <c r="DJ55" s="376"/>
      <c r="DK55" s="376"/>
      <c r="DL55" s="377"/>
      <c r="DM55" s="377"/>
      <c r="DN55" s="376"/>
      <c r="DO55" s="377"/>
      <c r="DP55" s="376"/>
      <c r="DQ55" s="376"/>
      <c r="DR55" s="376"/>
      <c r="DS55" s="379"/>
      <c r="DT55" s="379"/>
      <c r="DU55" s="373">
        <v>55</v>
      </c>
    </row>
    <row r="56" spans="5:125" x14ac:dyDescent="0.2">
      <c r="E56" s="376"/>
      <c r="F56" s="376"/>
      <c r="G56" s="377"/>
      <c r="H56" s="377"/>
      <c r="I56" s="377"/>
      <c r="J56" s="377"/>
      <c r="K56" s="377"/>
      <c r="L56" s="377"/>
      <c r="M56" s="377"/>
      <c r="N56" s="377"/>
      <c r="O56" s="377"/>
      <c r="P56" s="377"/>
      <c r="Q56" s="377"/>
      <c r="R56" s="377"/>
      <c r="S56" s="377"/>
      <c r="T56" s="377"/>
      <c r="U56" s="376"/>
      <c r="V56" s="378"/>
      <c r="W56" s="378"/>
      <c r="X56" s="376"/>
      <c r="Y56" s="376"/>
      <c r="Z56" s="377"/>
      <c r="AA56" s="377"/>
      <c r="AB56" s="376"/>
      <c r="AC56" s="376"/>
      <c r="AD56" s="377"/>
      <c r="AE56" s="376"/>
      <c r="AF56" s="376"/>
      <c r="AG56" s="376"/>
      <c r="AH56" s="377"/>
      <c r="AI56" s="377"/>
      <c r="AJ56" s="377"/>
      <c r="AK56" s="376"/>
      <c r="AL56" s="376"/>
      <c r="AM56" s="377"/>
      <c r="AN56" s="377"/>
      <c r="AO56" s="377"/>
      <c r="AP56" s="376"/>
      <c r="AQ56" s="376"/>
      <c r="AR56" s="377"/>
      <c r="AS56" s="377"/>
      <c r="AT56" s="377"/>
      <c r="AU56" s="376"/>
      <c r="AV56" s="376"/>
      <c r="AW56" s="377"/>
      <c r="AX56" s="377"/>
      <c r="AY56" s="377"/>
      <c r="AZ56" s="376"/>
      <c r="BA56" s="376"/>
      <c r="BB56" s="377"/>
      <c r="BC56" s="377"/>
      <c r="BD56" s="377"/>
      <c r="BE56" s="376"/>
      <c r="BF56" s="376"/>
      <c r="BG56" s="377"/>
      <c r="BH56" s="377"/>
      <c r="BI56" s="377"/>
      <c r="BJ56" s="376"/>
      <c r="BK56" s="376"/>
      <c r="BL56" s="377"/>
      <c r="BM56" s="377"/>
      <c r="BN56" s="377"/>
      <c r="BO56" s="376"/>
      <c r="BP56" s="376"/>
      <c r="BQ56" s="377"/>
      <c r="BR56" s="377"/>
      <c r="BS56" s="377"/>
      <c r="BT56" s="376"/>
      <c r="BU56" s="376"/>
      <c r="BV56" s="377"/>
      <c r="BW56" s="377"/>
      <c r="BX56" s="377"/>
      <c r="BY56" s="376"/>
      <c r="BZ56" s="376"/>
      <c r="CA56" s="377"/>
      <c r="CB56" s="377"/>
      <c r="CC56" s="377"/>
      <c r="CD56" s="376"/>
      <c r="CE56" s="376"/>
      <c r="CF56" s="377"/>
      <c r="CG56" s="377"/>
      <c r="CH56" s="377"/>
      <c r="CI56" s="376"/>
      <c r="CJ56" s="376"/>
      <c r="CK56" s="377"/>
      <c r="CL56" s="377"/>
      <c r="CM56" s="377"/>
      <c r="CN56" s="376"/>
      <c r="CO56" s="376"/>
      <c r="CP56" s="376"/>
      <c r="CQ56" s="377"/>
      <c r="CR56" s="376"/>
      <c r="CS56" s="376"/>
      <c r="CT56" s="377"/>
      <c r="CU56" s="377"/>
      <c r="CV56" s="377"/>
      <c r="CW56" s="377"/>
      <c r="CX56" s="377"/>
      <c r="CY56" s="377"/>
      <c r="CZ56" s="377"/>
      <c r="DA56" s="377"/>
      <c r="DB56" s="377"/>
      <c r="DC56" s="377"/>
      <c r="DD56" s="377"/>
      <c r="DE56" s="377"/>
      <c r="DF56" s="376"/>
      <c r="DG56" s="376"/>
      <c r="DH56" s="377"/>
      <c r="DI56" s="377"/>
      <c r="DJ56" s="376"/>
      <c r="DK56" s="376"/>
      <c r="DL56" s="377"/>
      <c r="DM56" s="377"/>
      <c r="DN56" s="376"/>
      <c r="DO56" s="377"/>
      <c r="DP56" s="376"/>
      <c r="DQ56" s="376"/>
      <c r="DR56" s="376"/>
      <c r="DS56" s="379"/>
      <c r="DT56" s="379"/>
      <c r="DU56" s="373">
        <v>56</v>
      </c>
    </row>
    <row r="57" spans="5:125" x14ac:dyDescent="0.2">
      <c r="E57" s="376"/>
      <c r="F57" s="376"/>
      <c r="G57" s="377"/>
      <c r="H57" s="377"/>
      <c r="I57" s="377"/>
      <c r="J57" s="377"/>
      <c r="K57" s="377"/>
      <c r="L57" s="377"/>
      <c r="M57" s="377"/>
      <c r="N57" s="377"/>
      <c r="O57" s="377"/>
      <c r="P57" s="377"/>
      <c r="Q57" s="377"/>
      <c r="R57" s="377"/>
      <c r="S57" s="377"/>
      <c r="T57" s="377"/>
      <c r="U57" s="376"/>
      <c r="V57" s="378"/>
      <c r="W57" s="378"/>
      <c r="X57" s="376"/>
      <c r="Y57" s="376"/>
      <c r="Z57" s="377"/>
      <c r="AA57" s="377"/>
      <c r="AB57" s="376"/>
      <c r="AC57" s="376"/>
      <c r="AD57" s="377"/>
      <c r="AE57" s="376"/>
      <c r="AF57" s="376"/>
      <c r="AG57" s="376"/>
      <c r="AH57" s="377"/>
      <c r="AI57" s="377"/>
      <c r="AJ57" s="377"/>
      <c r="AK57" s="376"/>
      <c r="AL57" s="376"/>
      <c r="AM57" s="377"/>
      <c r="AN57" s="377"/>
      <c r="AO57" s="377"/>
      <c r="AP57" s="376"/>
      <c r="AQ57" s="376"/>
      <c r="AR57" s="377"/>
      <c r="AS57" s="377"/>
      <c r="AT57" s="377"/>
      <c r="AU57" s="376"/>
      <c r="AV57" s="376"/>
      <c r="AW57" s="377"/>
      <c r="AX57" s="377"/>
      <c r="AY57" s="377"/>
      <c r="AZ57" s="376"/>
      <c r="BA57" s="376"/>
      <c r="BB57" s="377"/>
      <c r="BC57" s="377"/>
      <c r="BD57" s="377"/>
      <c r="BE57" s="376"/>
      <c r="BF57" s="376"/>
      <c r="BG57" s="377"/>
      <c r="BH57" s="377"/>
      <c r="BI57" s="377"/>
      <c r="BJ57" s="376"/>
      <c r="BK57" s="376"/>
      <c r="BL57" s="377"/>
      <c r="BM57" s="377"/>
      <c r="BN57" s="377"/>
      <c r="BO57" s="376"/>
      <c r="BP57" s="376"/>
      <c r="BQ57" s="377"/>
      <c r="BR57" s="377"/>
      <c r="BS57" s="377"/>
      <c r="BT57" s="376"/>
      <c r="BU57" s="376"/>
      <c r="BV57" s="377"/>
      <c r="BW57" s="377"/>
      <c r="BX57" s="377"/>
      <c r="BY57" s="376"/>
      <c r="BZ57" s="376"/>
      <c r="CA57" s="377"/>
      <c r="CB57" s="377"/>
      <c r="CC57" s="377"/>
      <c r="CD57" s="376"/>
      <c r="CE57" s="376"/>
      <c r="CF57" s="377"/>
      <c r="CG57" s="377"/>
      <c r="CH57" s="377"/>
      <c r="CI57" s="376"/>
      <c r="CJ57" s="376"/>
      <c r="CK57" s="377"/>
      <c r="CL57" s="377"/>
      <c r="CM57" s="377"/>
      <c r="CN57" s="376"/>
      <c r="CO57" s="376"/>
      <c r="CP57" s="376"/>
      <c r="CQ57" s="377"/>
      <c r="CR57" s="376"/>
      <c r="CS57" s="376"/>
      <c r="CT57" s="377"/>
      <c r="CU57" s="377"/>
      <c r="CV57" s="377"/>
      <c r="CW57" s="377"/>
      <c r="CX57" s="377"/>
      <c r="CY57" s="377"/>
      <c r="CZ57" s="377"/>
      <c r="DA57" s="377"/>
      <c r="DB57" s="377"/>
      <c r="DC57" s="377"/>
      <c r="DD57" s="377"/>
      <c r="DE57" s="377"/>
      <c r="DF57" s="376"/>
      <c r="DG57" s="376"/>
      <c r="DH57" s="377"/>
      <c r="DI57" s="377"/>
      <c r="DJ57" s="376"/>
      <c r="DK57" s="376"/>
      <c r="DL57" s="377"/>
      <c r="DM57" s="377"/>
      <c r="DN57" s="376"/>
      <c r="DO57" s="377"/>
      <c r="DP57" s="376"/>
      <c r="DQ57" s="376"/>
      <c r="DR57" s="376"/>
      <c r="DS57" s="379"/>
      <c r="DT57" s="379"/>
      <c r="DU57" s="373">
        <v>57</v>
      </c>
    </row>
    <row r="58" spans="5:125" x14ac:dyDescent="0.2">
      <c r="E58" s="376"/>
      <c r="F58" s="376"/>
      <c r="G58" s="377"/>
      <c r="H58" s="377"/>
      <c r="I58" s="377"/>
      <c r="J58" s="377"/>
      <c r="K58" s="377"/>
      <c r="L58" s="377"/>
      <c r="M58" s="377"/>
      <c r="N58" s="377"/>
      <c r="O58" s="377"/>
      <c r="P58" s="377"/>
      <c r="Q58" s="377"/>
      <c r="R58" s="377"/>
      <c r="S58" s="377"/>
      <c r="T58" s="377"/>
      <c r="U58" s="376"/>
      <c r="V58" s="378"/>
      <c r="W58" s="378"/>
      <c r="X58" s="376"/>
      <c r="Y58" s="376"/>
      <c r="Z58" s="377"/>
      <c r="AA58" s="377"/>
      <c r="AB58" s="376"/>
      <c r="AC58" s="376"/>
      <c r="AD58" s="377"/>
      <c r="AE58" s="376"/>
      <c r="AF58" s="376"/>
      <c r="AG58" s="376"/>
      <c r="AH58" s="377"/>
      <c r="AI58" s="377"/>
      <c r="AJ58" s="377"/>
      <c r="AK58" s="376"/>
      <c r="AL58" s="376"/>
      <c r="AM58" s="377"/>
      <c r="AN58" s="377"/>
      <c r="AO58" s="377"/>
      <c r="AP58" s="376"/>
      <c r="AQ58" s="376"/>
      <c r="AR58" s="377"/>
      <c r="AS58" s="377"/>
      <c r="AT58" s="377"/>
      <c r="AU58" s="376"/>
      <c r="AV58" s="376"/>
      <c r="AW58" s="377"/>
      <c r="AX58" s="377"/>
      <c r="AY58" s="377"/>
      <c r="AZ58" s="376"/>
      <c r="BA58" s="376"/>
      <c r="BB58" s="377"/>
      <c r="BC58" s="377"/>
      <c r="BD58" s="377"/>
      <c r="BE58" s="376"/>
      <c r="BF58" s="376"/>
      <c r="BG58" s="377"/>
      <c r="BH58" s="377"/>
      <c r="BI58" s="377"/>
      <c r="BJ58" s="376"/>
      <c r="BK58" s="376"/>
      <c r="BL58" s="377"/>
      <c r="BM58" s="377"/>
      <c r="BN58" s="377"/>
      <c r="BO58" s="376"/>
      <c r="BP58" s="376"/>
      <c r="BQ58" s="377"/>
      <c r="BR58" s="377"/>
      <c r="BS58" s="377"/>
      <c r="BT58" s="376"/>
      <c r="BU58" s="376"/>
      <c r="BV58" s="377"/>
      <c r="BW58" s="377"/>
      <c r="BX58" s="377"/>
      <c r="BY58" s="376"/>
      <c r="BZ58" s="376"/>
      <c r="CA58" s="377"/>
      <c r="CB58" s="377"/>
      <c r="CC58" s="377"/>
      <c r="CD58" s="376"/>
      <c r="CE58" s="376"/>
      <c r="CF58" s="377"/>
      <c r="CG58" s="377"/>
      <c r="CH58" s="377"/>
      <c r="CI58" s="376"/>
      <c r="CJ58" s="376"/>
      <c r="CK58" s="377"/>
      <c r="CL58" s="377"/>
      <c r="CM58" s="377"/>
      <c r="CN58" s="376"/>
      <c r="CO58" s="376"/>
      <c r="CP58" s="376"/>
      <c r="CQ58" s="377"/>
      <c r="CR58" s="376"/>
      <c r="CS58" s="376"/>
      <c r="CT58" s="377"/>
      <c r="CU58" s="377"/>
      <c r="CV58" s="377"/>
      <c r="CW58" s="377"/>
      <c r="CX58" s="377"/>
      <c r="CY58" s="377"/>
      <c r="CZ58" s="377"/>
      <c r="DA58" s="377"/>
      <c r="DB58" s="377"/>
      <c r="DC58" s="377"/>
      <c r="DD58" s="377"/>
      <c r="DE58" s="377"/>
      <c r="DF58" s="376"/>
      <c r="DG58" s="376"/>
      <c r="DH58" s="377"/>
      <c r="DI58" s="377"/>
      <c r="DJ58" s="376"/>
      <c r="DK58" s="376"/>
      <c r="DL58" s="377"/>
      <c r="DM58" s="377"/>
      <c r="DN58" s="376"/>
      <c r="DO58" s="377"/>
      <c r="DP58" s="376"/>
      <c r="DQ58" s="376"/>
      <c r="DR58" s="376"/>
      <c r="DS58" s="379"/>
      <c r="DT58" s="379"/>
      <c r="DU58" s="373">
        <v>58</v>
      </c>
    </row>
    <row r="59" spans="5:125" x14ac:dyDescent="0.2">
      <c r="E59" s="376"/>
      <c r="F59" s="376"/>
      <c r="G59" s="377"/>
      <c r="H59" s="377"/>
      <c r="I59" s="377"/>
      <c r="J59" s="377"/>
      <c r="K59" s="377"/>
      <c r="L59" s="377"/>
      <c r="M59" s="377"/>
      <c r="N59" s="377"/>
      <c r="O59" s="377"/>
      <c r="P59" s="377"/>
      <c r="Q59" s="377"/>
      <c r="R59" s="377"/>
      <c r="S59" s="377"/>
      <c r="T59" s="377"/>
      <c r="U59" s="376"/>
      <c r="V59" s="378"/>
      <c r="W59" s="378"/>
      <c r="X59" s="376"/>
      <c r="Y59" s="376"/>
      <c r="Z59" s="377"/>
      <c r="AA59" s="377"/>
      <c r="AB59" s="376"/>
      <c r="AC59" s="376"/>
      <c r="AD59" s="377"/>
      <c r="AE59" s="376"/>
      <c r="AF59" s="376"/>
      <c r="AG59" s="376"/>
      <c r="AH59" s="377"/>
      <c r="AI59" s="377"/>
      <c r="AJ59" s="377"/>
      <c r="AK59" s="376"/>
      <c r="AL59" s="376"/>
      <c r="AM59" s="377"/>
      <c r="AN59" s="377"/>
      <c r="AO59" s="377"/>
      <c r="AP59" s="376"/>
      <c r="AQ59" s="376"/>
      <c r="AR59" s="377"/>
      <c r="AS59" s="377"/>
      <c r="AT59" s="377"/>
      <c r="AU59" s="376"/>
      <c r="AV59" s="376"/>
      <c r="AW59" s="377"/>
      <c r="AX59" s="377"/>
      <c r="AY59" s="377"/>
      <c r="AZ59" s="376"/>
      <c r="BA59" s="376"/>
      <c r="BB59" s="377"/>
      <c r="BC59" s="377"/>
      <c r="BD59" s="377"/>
      <c r="BE59" s="376"/>
      <c r="BF59" s="376"/>
      <c r="BG59" s="377"/>
      <c r="BH59" s="377"/>
      <c r="BI59" s="377"/>
      <c r="BJ59" s="376"/>
      <c r="BK59" s="376"/>
      <c r="BL59" s="377"/>
      <c r="BM59" s="377"/>
      <c r="BN59" s="377"/>
      <c r="BO59" s="376"/>
      <c r="BP59" s="376"/>
      <c r="BQ59" s="377"/>
      <c r="BR59" s="377"/>
      <c r="BS59" s="377"/>
      <c r="BT59" s="376"/>
      <c r="BU59" s="376"/>
      <c r="BV59" s="377"/>
      <c r="BW59" s="377"/>
      <c r="BX59" s="377"/>
      <c r="BY59" s="376"/>
      <c r="BZ59" s="376"/>
      <c r="CA59" s="377"/>
      <c r="CB59" s="377"/>
      <c r="CC59" s="377"/>
      <c r="CD59" s="376"/>
      <c r="CE59" s="376"/>
      <c r="CF59" s="377"/>
      <c r="CG59" s="377"/>
      <c r="CH59" s="377"/>
      <c r="CI59" s="376"/>
      <c r="CJ59" s="376"/>
      <c r="CK59" s="377"/>
      <c r="CL59" s="377"/>
      <c r="CM59" s="377"/>
      <c r="CN59" s="376"/>
      <c r="CO59" s="376"/>
      <c r="CP59" s="376"/>
      <c r="CQ59" s="377"/>
      <c r="CR59" s="376"/>
      <c r="CS59" s="376"/>
      <c r="CT59" s="377"/>
      <c r="CU59" s="377"/>
      <c r="CV59" s="377"/>
      <c r="CW59" s="377"/>
      <c r="CX59" s="377"/>
      <c r="CY59" s="377"/>
      <c r="CZ59" s="377"/>
      <c r="DA59" s="377"/>
      <c r="DB59" s="377"/>
      <c r="DC59" s="377"/>
      <c r="DD59" s="377"/>
      <c r="DE59" s="377"/>
      <c r="DF59" s="376"/>
      <c r="DG59" s="376"/>
      <c r="DH59" s="377"/>
      <c r="DI59" s="377"/>
      <c r="DJ59" s="376"/>
      <c r="DK59" s="376"/>
      <c r="DL59" s="377"/>
      <c r="DM59" s="377"/>
      <c r="DN59" s="376"/>
      <c r="DO59" s="377"/>
      <c r="DP59" s="376"/>
      <c r="DQ59" s="376"/>
      <c r="DR59" s="376"/>
      <c r="DS59" s="379"/>
      <c r="DT59" s="379"/>
      <c r="DU59" s="373">
        <v>59</v>
      </c>
    </row>
    <row r="60" spans="5:125" x14ac:dyDescent="0.2">
      <c r="E60" s="376"/>
      <c r="F60" s="376"/>
      <c r="G60" s="377"/>
      <c r="H60" s="377"/>
      <c r="I60" s="377"/>
      <c r="J60" s="377"/>
      <c r="K60" s="377"/>
      <c r="L60" s="377"/>
      <c r="M60" s="377"/>
      <c r="N60" s="377"/>
      <c r="O60" s="377"/>
      <c r="P60" s="377"/>
      <c r="Q60" s="377"/>
      <c r="R60" s="377"/>
      <c r="S60" s="377"/>
      <c r="T60" s="377"/>
      <c r="U60" s="376"/>
      <c r="V60" s="378"/>
      <c r="W60" s="378"/>
      <c r="X60" s="376"/>
      <c r="Y60" s="376"/>
      <c r="Z60" s="377"/>
      <c r="AA60" s="377"/>
      <c r="AB60" s="376"/>
      <c r="AC60" s="376"/>
      <c r="AD60" s="377"/>
      <c r="AE60" s="376"/>
      <c r="AF60" s="376"/>
      <c r="AG60" s="376"/>
      <c r="AH60" s="377"/>
      <c r="AI60" s="377"/>
      <c r="AJ60" s="377"/>
      <c r="AK60" s="376"/>
      <c r="AL60" s="376"/>
      <c r="AM60" s="377"/>
      <c r="AN60" s="377"/>
      <c r="AO60" s="377"/>
      <c r="AP60" s="376"/>
      <c r="AQ60" s="376"/>
      <c r="AR60" s="377"/>
      <c r="AS60" s="377"/>
      <c r="AT60" s="377"/>
      <c r="AU60" s="376"/>
      <c r="AV60" s="376"/>
      <c r="AW60" s="377"/>
      <c r="AX60" s="377"/>
      <c r="AY60" s="377"/>
      <c r="AZ60" s="376"/>
      <c r="BA60" s="376"/>
      <c r="BB60" s="377"/>
      <c r="BC60" s="377"/>
      <c r="BD60" s="377"/>
      <c r="BE60" s="376"/>
      <c r="BF60" s="376"/>
      <c r="BG60" s="377"/>
      <c r="BH60" s="377"/>
      <c r="BI60" s="377"/>
      <c r="BJ60" s="376"/>
      <c r="BK60" s="376"/>
      <c r="BL60" s="377"/>
      <c r="BM60" s="377"/>
      <c r="BN60" s="377"/>
      <c r="BO60" s="376"/>
      <c r="BP60" s="376"/>
      <c r="BQ60" s="377"/>
      <c r="BR60" s="377"/>
      <c r="BS60" s="377"/>
      <c r="BT60" s="376"/>
      <c r="BU60" s="376"/>
      <c r="BV60" s="377"/>
      <c r="BW60" s="377"/>
      <c r="BX60" s="377"/>
      <c r="BY60" s="376"/>
      <c r="BZ60" s="376"/>
      <c r="CA60" s="377"/>
      <c r="CB60" s="377"/>
      <c r="CC60" s="377"/>
      <c r="CD60" s="376"/>
      <c r="CE60" s="376"/>
      <c r="CF60" s="377"/>
      <c r="CG60" s="377"/>
      <c r="CH60" s="377"/>
      <c r="CI60" s="376"/>
      <c r="CJ60" s="376"/>
      <c r="CK60" s="377"/>
      <c r="CL60" s="377"/>
      <c r="CM60" s="377"/>
      <c r="CN60" s="376"/>
      <c r="CO60" s="376"/>
      <c r="CP60" s="376"/>
      <c r="CQ60" s="377"/>
      <c r="CR60" s="376"/>
      <c r="CS60" s="376"/>
      <c r="CT60" s="377"/>
      <c r="CU60" s="377"/>
      <c r="CV60" s="377"/>
      <c r="CW60" s="377"/>
      <c r="CX60" s="377"/>
      <c r="CY60" s="377"/>
      <c r="CZ60" s="377"/>
      <c r="DA60" s="377"/>
      <c r="DB60" s="377"/>
      <c r="DC60" s="377"/>
      <c r="DD60" s="377"/>
      <c r="DE60" s="377"/>
      <c r="DF60" s="376"/>
      <c r="DG60" s="376"/>
      <c r="DH60" s="377"/>
      <c r="DI60" s="377"/>
      <c r="DJ60" s="376"/>
      <c r="DK60" s="376"/>
      <c r="DL60" s="377"/>
      <c r="DM60" s="377"/>
      <c r="DN60" s="376"/>
      <c r="DO60" s="377"/>
      <c r="DP60" s="376"/>
      <c r="DQ60" s="376"/>
      <c r="DR60" s="376"/>
      <c r="DS60" s="379"/>
      <c r="DT60" s="379"/>
      <c r="DU60" s="373">
        <v>60</v>
      </c>
    </row>
    <row r="61" spans="5:125" x14ac:dyDescent="0.2">
      <c r="E61" s="376"/>
      <c r="F61" s="376"/>
      <c r="G61" s="377"/>
      <c r="H61" s="377"/>
      <c r="I61" s="377"/>
      <c r="J61" s="377"/>
      <c r="K61" s="377"/>
      <c r="L61" s="377"/>
      <c r="M61" s="377"/>
      <c r="N61" s="377"/>
      <c r="O61" s="377"/>
      <c r="P61" s="377"/>
      <c r="Q61" s="377"/>
      <c r="R61" s="377"/>
      <c r="S61" s="377"/>
      <c r="T61" s="377"/>
      <c r="U61" s="376"/>
      <c r="V61" s="378"/>
      <c r="W61" s="378"/>
      <c r="X61" s="376"/>
      <c r="Y61" s="376"/>
      <c r="Z61" s="377"/>
      <c r="AA61" s="377"/>
      <c r="AB61" s="376"/>
      <c r="AC61" s="376"/>
      <c r="AD61" s="377"/>
      <c r="AE61" s="376"/>
      <c r="AF61" s="376"/>
      <c r="AG61" s="376"/>
      <c r="AH61" s="377"/>
      <c r="AI61" s="377"/>
      <c r="AJ61" s="377"/>
      <c r="AK61" s="376"/>
      <c r="AL61" s="376"/>
      <c r="AM61" s="377"/>
      <c r="AN61" s="377"/>
      <c r="AO61" s="377"/>
      <c r="AP61" s="376"/>
      <c r="AQ61" s="376"/>
      <c r="AR61" s="377"/>
      <c r="AS61" s="377"/>
      <c r="AT61" s="377"/>
      <c r="AU61" s="376"/>
      <c r="AV61" s="376"/>
      <c r="AW61" s="377"/>
      <c r="AX61" s="377"/>
      <c r="AY61" s="377"/>
      <c r="AZ61" s="376"/>
      <c r="BA61" s="376"/>
      <c r="BB61" s="377"/>
      <c r="BC61" s="377"/>
      <c r="BD61" s="377"/>
      <c r="BE61" s="376"/>
      <c r="BF61" s="376"/>
      <c r="BG61" s="377"/>
      <c r="BH61" s="377"/>
      <c r="BI61" s="377"/>
      <c r="BJ61" s="376"/>
      <c r="BK61" s="376"/>
      <c r="BL61" s="377"/>
      <c r="BM61" s="377"/>
      <c r="BN61" s="377"/>
      <c r="BO61" s="376"/>
      <c r="BP61" s="376"/>
      <c r="BQ61" s="377"/>
      <c r="BR61" s="377"/>
      <c r="BS61" s="377"/>
      <c r="BT61" s="376"/>
      <c r="BU61" s="376"/>
      <c r="BV61" s="377"/>
      <c r="BW61" s="377"/>
      <c r="BX61" s="377"/>
      <c r="BY61" s="376"/>
      <c r="BZ61" s="376"/>
      <c r="CA61" s="377"/>
      <c r="CB61" s="377"/>
      <c r="CC61" s="377"/>
      <c r="CD61" s="376"/>
      <c r="CE61" s="376"/>
      <c r="CF61" s="377"/>
      <c r="CG61" s="377"/>
      <c r="CH61" s="377"/>
      <c r="CI61" s="376"/>
      <c r="CJ61" s="376"/>
      <c r="CK61" s="377"/>
      <c r="CL61" s="377"/>
      <c r="CM61" s="377"/>
      <c r="CN61" s="376"/>
      <c r="CO61" s="376"/>
      <c r="CP61" s="376"/>
      <c r="CQ61" s="377"/>
      <c r="CR61" s="376"/>
      <c r="CS61" s="376"/>
      <c r="CT61" s="377"/>
      <c r="CU61" s="377"/>
      <c r="CV61" s="377"/>
      <c r="CW61" s="377"/>
      <c r="CX61" s="377"/>
      <c r="CY61" s="377"/>
      <c r="CZ61" s="377"/>
      <c r="DA61" s="377"/>
      <c r="DB61" s="377"/>
      <c r="DC61" s="377"/>
      <c r="DD61" s="377"/>
      <c r="DE61" s="377"/>
      <c r="DF61" s="376"/>
      <c r="DG61" s="376"/>
      <c r="DH61" s="377"/>
      <c r="DI61" s="377"/>
      <c r="DJ61" s="376"/>
      <c r="DK61" s="376"/>
      <c r="DL61" s="377"/>
      <c r="DM61" s="377"/>
      <c r="DN61" s="376"/>
      <c r="DO61" s="377"/>
      <c r="DP61" s="376"/>
      <c r="DQ61" s="376"/>
      <c r="DR61" s="376"/>
      <c r="DS61" s="379"/>
      <c r="DT61" s="379"/>
      <c r="DU61" s="373">
        <v>61</v>
      </c>
    </row>
    <row r="62" spans="5:125" x14ac:dyDescent="0.2">
      <c r="E62" s="376"/>
      <c r="F62" s="376"/>
      <c r="G62" s="377"/>
      <c r="H62" s="377"/>
      <c r="I62" s="377"/>
      <c r="J62" s="377"/>
      <c r="K62" s="377"/>
      <c r="L62" s="377"/>
      <c r="M62" s="377"/>
      <c r="N62" s="377"/>
      <c r="O62" s="377"/>
      <c r="P62" s="377"/>
      <c r="Q62" s="377"/>
      <c r="R62" s="377"/>
      <c r="S62" s="377"/>
      <c r="T62" s="377"/>
      <c r="U62" s="376"/>
      <c r="V62" s="378"/>
      <c r="W62" s="378"/>
      <c r="X62" s="376"/>
      <c r="Y62" s="376"/>
      <c r="Z62" s="377"/>
      <c r="AA62" s="377"/>
      <c r="AB62" s="376"/>
      <c r="AC62" s="376"/>
      <c r="AD62" s="377"/>
      <c r="AE62" s="376"/>
      <c r="AF62" s="376"/>
      <c r="AG62" s="376"/>
      <c r="AH62" s="377"/>
      <c r="AI62" s="377"/>
      <c r="AJ62" s="377"/>
      <c r="AK62" s="376"/>
      <c r="AL62" s="376"/>
      <c r="AM62" s="377"/>
      <c r="AN62" s="377"/>
      <c r="AO62" s="377"/>
      <c r="AP62" s="376"/>
      <c r="AQ62" s="376"/>
      <c r="AR62" s="377"/>
      <c r="AS62" s="377"/>
      <c r="AT62" s="377"/>
      <c r="AU62" s="376"/>
      <c r="AV62" s="376"/>
      <c r="AW62" s="377"/>
      <c r="AX62" s="377"/>
      <c r="AY62" s="377"/>
      <c r="AZ62" s="376"/>
      <c r="BA62" s="376"/>
      <c r="BB62" s="377"/>
      <c r="BC62" s="377"/>
      <c r="BD62" s="377"/>
      <c r="BE62" s="376"/>
      <c r="BF62" s="376"/>
      <c r="BG62" s="377"/>
      <c r="BH62" s="377"/>
      <c r="BI62" s="377"/>
      <c r="BJ62" s="376"/>
      <c r="BK62" s="376"/>
      <c r="BL62" s="377"/>
      <c r="BM62" s="377"/>
      <c r="BN62" s="377"/>
      <c r="BO62" s="376"/>
      <c r="BP62" s="376"/>
      <c r="BQ62" s="377"/>
      <c r="BR62" s="377"/>
      <c r="BS62" s="377"/>
      <c r="BT62" s="376"/>
      <c r="BU62" s="376"/>
      <c r="BV62" s="377"/>
      <c r="BW62" s="377"/>
      <c r="BX62" s="377"/>
      <c r="BY62" s="376"/>
      <c r="BZ62" s="376"/>
      <c r="CA62" s="377"/>
      <c r="CB62" s="377"/>
      <c r="CC62" s="377"/>
      <c r="CD62" s="376"/>
      <c r="CE62" s="376"/>
      <c r="CF62" s="377"/>
      <c r="CG62" s="377"/>
      <c r="CH62" s="377"/>
      <c r="CI62" s="376"/>
      <c r="CJ62" s="376"/>
      <c r="CK62" s="377"/>
      <c r="CL62" s="377"/>
      <c r="CM62" s="377"/>
      <c r="CN62" s="376"/>
      <c r="CO62" s="376"/>
      <c r="CP62" s="376"/>
      <c r="CQ62" s="377"/>
      <c r="CR62" s="376"/>
      <c r="CS62" s="376"/>
      <c r="CT62" s="377"/>
      <c r="CU62" s="377"/>
      <c r="CV62" s="377"/>
      <c r="CW62" s="377"/>
      <c r="CX62" s="377"/>
      <c r="CY62" s="377"/>
      <c r="CZ62" s="377"/>
      <c r="DA62" s="377"/>
      <c r="DB62" s="377"/>
      <c r="DC62" s="377"/>
      <c r="DD62" s="377"/>
      <c r="DE62" s="377"/>
      <c r="DF62" s="376"/>
      <c r="DG62" s="376"/>
      <c r="DH62" s="377"/>
      <c r="DI62" s="377"/>
      <c r="DJ62" s="376"/>
      <c r="DK62" s="376"/>
      <c r="DL62" s="377"/>
      <c r="DM62" s="377"/>
      <c r="DN62" s="376"/>
      <c r="DO62" s="377"/>
      <c r="DP62" s="376"/>
      <c r="DQ62" s="376"/>
      <c r="DR62" s="376"/>
      <c r="DS62" s="379"/>
      <c r="DT62" s="379"/>
      <c r="DU62" s="373">
        <v>62</v>
      </c>
    </row>
    <row r="63" spans="5:125" x14ac:dyDescent="0.2">
      <c r="E63" s="376"/>
      <c r="F63" s="376"/>
      <c r="G63" s="377"/>
      <c r="H63" s="377"/>
      <c r="I63" s="377"/>
      <c r="J63" s="377"/>
      <c r="K63" s="377"/>
      <c r="L63" s="377"/>
      <c r="M63" s="377"/>
      <c r="N63" s="377"/>
      <c r="O63" s="377"/>
      <c r="P63" s="377"/>
      <c r="Q63" s="377"/>
      <c r="R63" s="377"/>
      <c r="S63" s="377"/>
      <c r="T63" s="377"/>
      <c r="U63" s="376"/>
      <c r="V63" s="378"/>
      <c r="W63" s="378"/>
      <c r="X63" s="376"/>
      <c r="Y63" s="376"/>
      <c r="Z63" s="377"/>
      <c r="AA63" s="377"/>
      <c r="AB63" s="376"/>
      <c r="AC63" s="376"/>
      <c r="AD63" s="377"/>
      <c r="AE63" s="376"/>
      <c r="AF63" s="376"/>
      <c r="AG63" s="376"/>
      <c r="AH63" s="377"/>
      <c r="AI63" s="377"/>
      <c r="AJ63" s="377"/>
      <c r="AK63" s="376"/>
      <c r="AL63" s="376"/>
      <c r="AM63" s="377"/>
      <c r="AN63" s="377"/>
      <c r="AO63" s="377"/>
      <c r="AP63" s="376"/>
      <c r="AQ63" s="376"/>
      <c r="AR63" s="377"/>
      <c r="AS63" s="377"/>
      <c r="AT63" s="377"/>
      <c r="AU63" s="376"/>
      <c r="AV63" s="376"/>
      <c r="AW63" s="377"/>
      <c r="AX63" s="377"/>
      <c r="AY63" s="377"/>
      <c r="AZ63" s="376"/>
      <c r="BA63" s="376"/>
      <c r="BB63" s="377"/>
      <c r="BC63" s="377"/>
      <c r="BD63" s="377"/>
      <c r="BE63" s="376"/>
      <c r="BF63" s="376"/>
      <c r="BG63" s="377"/>
      <c r="BH63" s="377"/>
      <c r="BI63" s="377"/>
      <c r="BJ63" s="376"/>
      <c r="BK63" s="376"/>
      <c r="BL63" s="377"/>
      <c r="BM63" s="377"/>
      <c r="BN63" s="377"/>
      <c r="BO63" s="376"/>
      <c r="BP63" s="376"/>
      <c r="BQ63" s="377"/>
      <c r="BR63" s="377"/>
      <c r="BS63" s="377"/>
      <c r="BT63" s="376"/>
      <c r="BU63" s="376"/>
      <c r="BV63" s="377"/>
      <c r="BW63" s="377"/>
      <c r="BX63" s="377"/>
      <c r="BY63" s="376"/>
      <c r="BZ63" s="376"/>
      <c r="CA63" s="377"/>
      <c r="CB63" s="377"/>
      <c r="CC63" s="377"/>
      <c r="CD63" s="376"/>
      <c r="CE63" s="376"/>
      <c r="CF63" s="377"/>
      <c r="CG63" s="377"/>
      <c r="CH63" s="377"/>
      <c r="CI63" s="376"/>
      <c r="CJ63" s="376"/>
      <c r="CK63" s="377"/>
      <c r="CL63" s="377"/>
      <c r="CM63" s="377"/>
      <c r="CN63" s="376"/>
      <c r="CO63" s="376"/>
      <c r="CP63" s="376"/>
      <c r="CQ63" s="377"/>
      <c r="CR63" s="376"/>
      <c r="CS63" s="376"/>
      <c r="CT63" s="377"/>
      <c r="CU63" s="377"/>
      <c r="CV63" s="377"/>
      <c r="CW63" s="377"/>
      <c r="CX63" s="377"/>
      <c r="CY63" s="377"/>
      <c r="CZ63" s="377"/>
      <c r="DA63" s="377"/>
      <c r="DB63" s="377"/>
      <c r="DC63" s="377"/>
      <c r="DD63" s="377"/>
      <c r="DE63" s="377"/>
      <c r="DF63" s="376"/>
      <c r="DG63" s="376"/>
      <c r="DH63" s="377"/>
      <c r="DI63" s="377"/>
      <c r="DJ63" s="376"/>
      <c r="DK63" s="376"/>
      <c r="DL63" s="377"/>
      <c r="DM63" s="377"/>
      <c r="DN63" s="376"/>
      <c r="DO63" s="377"/>
      <c r="DP63" s="376"/>
      <c r="DQ63" s="376"/>
      <c r="DR63" s="376"/>
      <c r="DS63" s="379"/>
      <c r="DT63" s="379"/>
      <c r="DU63" s="373">
        <v>63</v>
      </c>
    </row>
    <row r="64" spans="5:125" x14ac:dyDescent="0.2">
      <c r="E64" s="376"/>
      <c r="F64" s="376"/>
      <c r="G64" s="377"/>
      <c r="H64" s="377"/>
      <c r="I64" s="377"/>
      <c r="J64" s="377"/>
      <c r="K64" s="377"/>
      <c r="L64" s="377"/>
      <c r="M64" s="377"/>
      <c r="N64" s="377"/>
      <c r="O64" s="377"/>
      <c r="P64" s="377"/>
      <c r="Q64" s="377"/>
      <c r="R64" s="377"/>
      <c r="S64" s="377"/>
      <c r="T64" s="377"/>
      <c r="U64" s="376"/>
      <c r="V64" s="378"/>
      <c r="W64" s="378"/>
      <c r="X64" s="376"/>
      <c r="Y64" s="376"/>
      <c r="Z64" s="377"/>
      <c r="AA64" s="377"/>
      <c r="AB64" s="376"/>
      <c r="AC64" s="376"/>
      <c r="AD64" s="377"/>
      <c r="AE64" s="376"/>
      <c r="AF64" s="376"/>
      <c r="AG64" s="376"/>
      <c r="AH64" s="377"/>
      <c r="AI64" s="377"/>
      <c r="AJ64" s="377"/>
      <c r="AK64" s="376"/>
      <c r="AL64" s="376"/>
      <c r="AM64" s="377"/>
      <c r="AN64" s="377"/>
      <c r="AO64" s="377"/>
      <c r="AP64" s="376"/>
      <c r="AQ64" s="376"/>
      <c r="AR64" s="377"/>
      <c r="AS64" s="377"/>
      <c r="AT64" s="377"/>
      <c r="AU64" s="376"/>
      <c r="AV64" s="376"/>
      <c r="AW64" s="377"/>
      <c r="AX64" s="377"/>
      <c r="AY64" s="377"/>
      <c r="AZ64" s="376"/>
      <c r="BA64" s="376"/>
      <c r="BB64" s="377"/>
      <c r="BC64" s="377"/>
      <c r="BD64" s="377"/>
      <c r="BE64" s="376"/>
      <c r="BF64" s="376"/>
      <c r="BG64" s="377"/>
      <c r="BH64" s="377"/>
      <c r="BI64" s="377"/>
      <c r="BJ64" s="376"/>
      <c r="BK64" s="376"/>
      <c r="BL64" s="377"/>
      <c r="BM64" s="377"/>
      <c r="BN64" s="377"/>
      <c r="BO64" s="376"/>
      <c r="BP64" s="376"/>
      <c r="BQ64" s="377"/>
      <c r="BR64" s="377"/>
      <c r="BS64" s="377"/>
      <c r="BT64" s="376"/>
      <c r="BU64" s="376"/>
      <c r="BV64" s="377"/>
      <c r="BW64" s="377"/>
      <c r="BX64" s="377"/>
      <c r="BY64" s="376"/>
      <c r="BZ64" s="376"/>
      <c r="CA64" s="377"/>
      <c r="CB64" s="377"/>
      <c r="CC64" s="377"/>
      <c r="CD64" s="376"/>
      <c r="CE64" s="376"/>
      <c r="CF64" s="377"/>
      <c r="CG64" s="377"/>
      <c r="CH64" s="377"/>
      <c r="CI64" s="376"/>
      <c r="CJ64" s="376"/>
      <c r="CK64" s="377"/>
      <c r="CL64" s="377"/>
      <c r="CM64" s="377"/>
      <c r="CN64" s="376"/>
      <c r="CO64" s="376"/>
      <c r="CP64" s="376"/>
      <c r="CQ64" s="377"/>
      <c r="CR64" s="376"/>
      <c r="CS64" s="376"/>
      <c r="CT64" s="377"/>
      <c r="CU64" s="377"/>
      <c r="CV64" s="377"/>
      <c r="CW64" s="377"/>
      <c r="CX64" s="377"/>
      <c r="CY64" s="377"/>
      <c r="CZ64" s="377"/>
      <c r="DA64" s="377"/>
      <c r="DB64" s="377"/>
      <c r="DC64" s="377"/>
      <c r="DD64" s="377"/>
      <c r="DE64" s="377"/>
      <c r="DF64" s="376"/>
      <c r="DG64" s="376"/>
      <c r="DH64" s="377"/>
      <c r="DI64" s="377"/>
      <c r="DJ64" s="376"/>
      <c r="DK64" s="376"/>
      <c r="DL64" s="377"/>
      <c r="DM64" s="377"/>
      <c r="DN64" s="376"/>
      <c r="DO64" s="377"/>
      <c r="DP64" s="376"/>
      <c r="DQ64" s="376"/>
      <c r="DR64" s="376"/>
      <c r="DS64" s="379"/>
      <c r="DT64" s="379"/>
      <c r="DU64" s="373">
        <v>64</v>
      </c>
    </row>
    <row r="65" spans="5:125" x14ac:dyDescent="0.2">
      <c r="E65" s="376"/>
      <c r="F65" s="376"/>
      <c r="G65" s="377"/>
      <c r="H65" s="377"/>
      <c r="I65" s="377"/>
      <c r="J65" s="377"/>
      <c r="K65" s="377"/>
      <c r="L65" s="377"/>
      <c r="M65" s="377"/>
      <c r="N65" s="377"/>
      <c r="O65" s="377"/>
      <c r="P65" s="377"/>
      <c r="Q65" s="377"/>
      <c r="R65" s="377"/>
      <c r="S65" s="377"/>
      <c r="T65" s="377"/>
      <c r="U65" s="376"/>
      <c r="V65" s="378"/>
      <c r="W65" s="378"/>
      <c r="X65" s="376"/>
      <c r="Y65" s="376"/>
      <c r="Z65" s="377"/>
      <c r="AA65" s="377"/>
      <c r="AB65" s="376"/>
      <c r="AC65" s="376"/>
      <c r="AD65" s="377"/>
      <c r="AE65" s="376"/>
      <c r="AF65" s="376"/>
      <c r="AG65" s="376"/>
      <c r="AH65" s="377"/>
      <c r="AI65" s="377"/>
      <c r="AJ65" s="377"/>
      <c r="AK65" s="376"/>
      <c r="AL65" s="376"/>
      <c r="AM65" s="377"/>
      <c r="AN65" s="377"/>
      <c r="AO65" s="377"/>
      <c r="AP65" s="376"/>
      <c r="AQ65" s="376"/>
      <c r="AR65" s="377"/>
      <c r="AS65" s="377"/>
      <c r="AT65" s="377"/>
      <c r="AU65" s="376"/>
      <c r="AV65" s="376"/>
      <c r="AW65" s="377"/>
      <c r="AX65" s="377"/>
      <c r="AY65" s="377"/>
      <c r="AZ65" s="376"/>
      <c r="BA65" s="376"/>
      <c r="BB65" s="377"/>
      <c r="BC65" s="377"/>
      <c r="BD65" s="377"/>
      <c r="BE65" s="376"/>
      <c r="BF65" s="376"/>
      <c r="BG65" s="377"/>
      <c r="BH65" s="377"/>
      <c r="BI65" s="377"/>
      <c r="BJ65" s="376"/>
      <c r="BK65" s="376"/>
      <c r="BL65" s="377"/>
      <c r="BM65" s="377"/>
      <c r="BN65" s="377"/>
      <c r="BO65" s="376"/>
      <c r="BP65" s="376"/>
      <c r="BQ65" s="377"/>
      <c r="BR65" s="377"/>
      <c r="BS65" s="377"/>
      <c r="BT65" s="376"/>
      <c r="BU65" s="376"/>
      <c r="BV65" s="377"/>
      <c r="BW65" s="377"/>
      <c r="BX65" s="377"/>
      <c r="BY65" s="376"/>
      <c r="BZ65" s="376"/>
      <c r="CA65" s="377"/>
      <c r="CB65" s="377"/>
      <c r="CC65" s="377"/>
      <c r="CD65" s="376"/>
      <c r="CE65" s="376"/>
      <c r="CF65" s="377"/>
      <c r="CG65" s="377"/>
      <c r="CH65" s="377"/>
      <c r="CI65" s="376"/>
      <c r="CJ65" s="376"/>
      <c r="CK65" s="377"/>
      <c r="CL65" s="377"/>
      <c r="CM65" s="377"/>
      <c r="CN65" s="376"/>
      <c r="CO65" s="376"/>
      <c r="CP65" s="376"/>
      <c r="CQ65" s="377"/>
      <c r="CR65" s="376"/>
      <c r="CS65" s="376"/>
      <c r="CT65" s="377"/>
      <c r="CU65" s="377"/>
      <c r="CV65" s="377"/>
      <c r="CW65" s="377"/>
      <c r="CX65" s="377"/>
      <c r="CY65" s="377"/>
      <c r="CZ65" s="377"/>
      <c r="DA65" s="377"/>
      <c r="DB65" s="377"/>
      <c r="DC65" s="377"/>
      <c r="DD65" s="377"/>
      <c r="DE65" s="377"/>
      <c r="DF65" s="376"/>
      <c r="DG65" s="376"/>
      <c r="DH65" s="377"/>
      <c r="DI65" s="377"/>
      <c r="DJ65" s="376"/>
      <c r="DK65" s="376"/>
      <c r="DL65" s="377"/>
      <c r="DM65" s="377"/>
      <c r="DN65" s="376"/>
      <c r="DO65" s="377"/>
      <c r="DP65" s="376"/>
      <c r="DQ65" s="376"/>
      <c r="DR65" s="376"/>
      <c r="DS65" s="379"/>
      <c r="DT65" s="379"/>
      <c r="DU65" s="373">
        <v>65</v>
      </c>
    </row>
    <row r="66" spans="5:125" x14ac:dyDescent="0.2">
      <c r="E66" s="376"/>
      <c r="F66" s="376"/>
      <c r="G66" s="377"/>
      <c r="H66" s="377"/>
      <c r="I66" s="377"/>
      <c r="J66" s="377"/>
      <c r="K66" s="377"/>
      <c r="L66" s="377"/>
      <c r="M66" s="377"/>
      <c r="N66" s="377"/>
      <c r="O66" s="377"/>
      <c r="P66" s="377"/>
      <c r="Q66" s="377"/>
      <c r="R66" s="377"/>
      <c r="S66" s="377"/>
      <c r="T66" s="377"/>
      <c r="U66" s="376"/>
      <c r="V66" s="378"/>
      <c r="W66" s="378"/>
      <c r="X66" s="376"/>
      <c r="Y66" s="376"/>
      <c r="Z66" s="377"/>
      <c r="AA66" s="377"/>
      <c r="AB66" s="376"/>
      <c r="AC66" s="376"/>
      <c r="AD66" s="377"/>
      <c r="AE66" s="376"/>
      <c r="AF66" s="376"/>
      <c r="AG66" s="376"/>
      <c r="AH66" s="377"/>
      <c r="AI66" s="377"/>
      <c r="AJ66" s="377"/>
      <c r="AK66" s="376"/>
      <c r="AL66" s="376"/>
      <c r="AM66" s="377"/>
      <c r="AN66" s="377"/>
      <c r="AO66" s="377"/>
      <c r="AP66" s="376"/>
      <c r="AQ66" s="376"/>
      <c r="AR66" s="377"/>
      <c r="AS66" s="377"/>
      <c r="AT66" s="377"/>
      <c r="AU66" s="376"/>
      <c r="AV66" s="376"/>
      <c r="AW66" s="377"/>
      <c r="AX66" s="377"/>
      <c r="AY66" s="377"/>
      <c r="AZ66" s="376"/>
      <c r="BA66" s="376"/>
      <c r="BB66" s="377"/>
      <c r="BC66" s="377"/>
      <c r="BD66" s="377"/>
      <c r="BE66" s="376"/>
      <c r="BF66" s="376"/>
      <c r="BG66" s="377"/>
      <c r="BH66" s="377"/>
      <c r="BI66" s="377"/>
      <c r="BJ66" s="376"/>
      <c r="BK66" s="376"/>
      <c r="BL66" s="377"/>
      <c r="BM66" s="377"/>
      <c r="BN66" s="377"/>
      <c r="BO66" s="376"/>
      <c r="BP66" s="376"/>
      <c r="BQ66" s="377"/>
      <c r="BR66" s="377"/>
      <c r="BS66" s="377"/>
      <c r="BT66" s="376"/>
      <c r="BU66" s="376"/>
      <c r="BV66" s="377"/>
      <c r="BW66" s="377"/>
      <c r="BX66" s="377"/>
      <c r="BY66" s="376"/>
      <c r="BZ66" s="376"/>
      <c r="CA66" s="377"/>
      <c r="CB66" s="377"/>
      <c r="CC66" s="377"/>
      <c r="CD66" s="376"/>
      <c r="CE66" s="376"/>
      <c r="CF66" s="377"/>
      <c r="CG66" s="377"/>
      <c r="CH66" s="377"/>
      <c r="CI66" s="376"/>
      <c r="CJ66" s="376"/>
      <c r="CK66" s="377"/>
      <c r="CL66" s="377"/>
      <c r="CM66" s="377"/>
      <c r="CN66" s="376"/>
      <c r="CO66" s="376"/>
      <c r="CP66" s="376"/>
      <c r="CQ66" s="377"/>
      <c r="CR66" s="376"/>
      <c r="CS66" s="376"/>
      <c r="CT66" s="377"/>
      <c r="CU66" s="377"/>
      <c r="CV66" s="377"/>
      <c r="CW66" s="377"/>
      <c r="CX66" s="377"/>
      <c r="CY66" s="377"/>
      <c r="CZ66" s="377"/>
      <c r="DA66" s="377"/>
      <c r="DB66" s="377"/>
      <c r="DC66" s="377"/>
      <c r="DD66" s="377"/>
      <c r="DE66" s="377"/>
      <c r="DF66" s="376"/>
      <c r="DG66" s="376"/>
      <c r="DH66" s="377"/>
      <c r="DI66" s="377"/>
      <c r="DJ66" s="376"/>
      <c r="DK66" s="376"/>
      <c r="DL66" s="377"/>
      <c r="DM66" s="377"/>
      <c r="DN66" s="376"/>
      <c r="DO66" s="377"/>
      <c r="DP66" s="376"/>
      <c r="DQ66" s="376"/>
      <c r="DR66" s="376"/>
      <c r="DS66" s="379"/>
      <c r="DT66" s="379"/>
      <c r="DU66" s="373">
        <v>66</v>
      </c>
    </row>
    <row r="67" spans="5:125" x14ac:dyDescent="0.2">
      <c r="E67" s="376"/>
      <c r="F67" s="376"/>
      <c r="G67" s="377"/>
      <c r="H67" s="377"/>
      <c r="I67" s="377"/>
      <c r="J67" s="377"/>
      <c r="K67" s="377"/>
      <c r="L67" s="377"/>
      <c r="M67" s="377"/>
      <c r="N67" s="377"/>
      <c r="O67" s="377"/>
      <c r="P67" s="377"/>
      <c r="Q67" s="377"/>
      <c r="R67" s="377"/>
      <c r="S67" s="377"/>
      <c r="T67" s="377"/>
      <c r="U67" s="376"/>
      <c r="V67" s="378"/>
      <c r="W67" s="378"/>
      <c r="X67" s="376"/>
      <c r="Y67" s="376"/>
      <c r="Z67" s="377"/>
      <c r="AA67" s="377"/>
      <c r="AB67" s="376"/>
      <c r="AC67" s="376"/>
      <c r="AD67" s="377"/>
      <c r="AE67" s="376"/>
      <c r="AF67" s="376"/>
      <c r="AG67" s="376"/>
      <c r="AH67" s="377"/>
      <c r="AI67" s="377"/>
      <c r="AJ67" s="377"/>
      <c r="AK67" s="376"/>
      <c r="AL67" s="376"/>
      <c r="AM67" s="377"/>
      <c r="AN67" s="377"/>
      <c r="AO67" s="377"/>
      <c r="AP67" s="376"/>
      <c r="AQ67" s="376"/>
      <c r="AR67" s="377"/>
      <c r="AS67" s="377"/>
      <c r="AT67" s="377"/>
      <c r="AU67" s="376"/>
      <c r="AV67" s="376"/>
      <c r="AW67" s="377"/>
      <c r="AX67" s="377"/>
      <c r="AY67" s="377"/>
      <c r="AZ67" s="376"/>
      <c r="BA67" s="376"/>
      <c r="BB67" s="377"/>
      <c r="BC67" s="377"/>
      <c r="BD67" s="377"/>
      <c r="BE67" s="376"/>
      <c r="BF67" s="376"/>
      <c r="BG67" s="377"/>
      <c r="BH67" s="377"/>
      <c r="BI67" s="377"/>
      <c r="BJ67" s="376"/>
      <c r="BK67" s="376"/>
      <c r="BL67" s="377"/>
      <c r="BM67" s="377"/>
      <c r="BN67" s="377"/>
      <c r="BO67" s="376"/>
      <c r="BP67" s="376"/>
      <c r="BQ67" s="377"/>
      <c r="BR67" s="377"/>
      <c r="BS67" s="377"/>
      <c r="BT67" s="376"/>
      <c r="BU67" s="376"/>
      <c r="BV67" s="377"/>
      <c r="BW67" s="377"/>
      <c r="BX67" s="377"/>
      <c r="BY67" s="376"/>
      <c r="BZ67" s="376"/>
      <c r="CA67" s="377"/>
      <c r="CB67" s="377"/>
      <c r="CC67" s="377"/>
      <c r="CD67" s="376"/>
      <c r="CE67" s="376"/>
      <c r="CF67" s="377"/>
      <c r="CG67" s="377"/>
      <c r="CH67" s="377"/>
      <c r="CI67" s="376"/>
      <c r="CJ67" s="376"/>
      <c r="CK67" s="377"/>
      <c r="CL67" s="377"/>
      <c r="CM67" s="377"/>
      <c r="CN67" s="376"/>
      <c r="CO67" s="376"/>
      <c r="CP67" s="376"/>
      <c r="CQ67" s="377"/>
      <c r="CR67" s="376"/>
      <c r="CS67" s="376"/>
      <c r="CT67" s="377"/>
      <c r="CU67" s="377"/>
      <c r="CV67" s="377"/>
      <c r="CW67" s="377"/>
      <c r="CX67" s="377"/>
      <c r="CY67" s="377"/>
      <c r="CZ67" s="377"/>
      <c r="DA67" s="377"/>
      <c r="DB67" s="377"/>
      <c r="DC67" s="377"/>
      <c r="DD67" s="377"/>
      <c r="DE67" s="377"/>
      <c r="DF67" s="376"/>
      <c r="DG67" s="376"/>
      <c r="DH67" s="377"/>
      <c r="DI67" s="377"/>
      <c r="DJ67" s="376"/>
      <c r="DK67" s="376"/>
      <c r="DL67" s="377"/>
      <c r="DM67" s="377"/>
      <c r="DN67" s="376"/>
      <c r="DO67" s="377"/>
      <c r="DP67" s="376"/>
      <c r="DQ67" s="376"/>
      <c r="DR67" s="376"/>
      <c r="DS67" s="379"/>
      <c r="DT67" s="379"/>
      <c r="DU67" s="373">
        <v>67</v>
      </c>
    </row>
    <row r="68" spans="5:125" x14ac:dyDescent="0.2">
      <c r="E68" s="376"/>
      <c r="F68" s="376"/>
      <c r="G68" s="377"/>
      <c r="H68" s="377"/>
      <c r="I68" s="377"/>
      <c r="J68" s="377"/>
      <c r="K68" s="377"/>
      <c r="L68" s="377"/>
      <c r="M68" s="377"/>
      <c r="N68" s="377"/>
      <c r="O68" s="377"/>
      <c r="P68" s="377"/>
      <c r="Q68" s="377"/>
      <c r="R68" s="377"/>
      <c r="S68" s="377"/>
      <c r="T68" s="377"/>
      <c r="U68" s="376"/>
      <c r="V68" s="378"/>
      <c r="W68" s="378"/>
      <c r="X68" s="376"/>
      <c r="Y68" s="376"/>
      <c r="Z68" s="377"/>
      <c r="AA68" s="377"/>
      <c r="AB68" s="376"/>
      <c r="AC68" s="376"/>
      <c r="AD68" s="377"/>
      <c r="AE68" s="376"/>
      <c r="AF68" s="376"/>
      <c r="AG68" s="376"/>
      <c r="AH68" s="377"/>
      <c r="AI68" s="377"/>
      <c r="AJ68" s="377"/>
      <c r="AK68" s="376"/>
      <c r="AL68" s="376"/>
      <c r="AM68" s="377"/>
      <c r="AN68" s="377"/>
      <c r="AO68" s="377"/>
      <c r="AP68" s="376"/>
      <c r="AQ68" s="376"/>
      <c r="AR68" s="377"/>
      <c r="AS68" s="377"/>
      <c r="AT68" s="377"/>
      <c r="AU68" s="376"/>
      <c r="AV68" s="376"/>
      <c r="AW68" s="377"/>
      <c r="AX68" s="377"/>
      <c r="AY68" s="377"/>
      <c r="AZ68" s="376"/>
      <c r="BA68" s="376"/>
      <c r="BB68" s="377"/>
      <c r="BC68" s="377"/>
      <c r="BD68" s="377"/>
      <c r="BE68" s="376"/>
      <c r="BF68" s="376"/>
      <c r="BG68" s="377"/>
      <c r="BH68" s="377"/>
      <c r="BI68" s="377"/>
      <c r="BJ68" s="376"/>
      <c r="BK68" s="376"/>
      <c r="BL68" s="377"/>
      <c r="BM68" s="377"/>
      <c r="BN68" s="377"/>
      <c r="BO68" s="376"/>
      <c r="BP68" s="376"/>
      <c r="BQ68" s="377"/>
      <c r="BR68" s="377"/>
      <c r="BS68" s="377"/>
      <c r="BT68" s="376"/>
      <c r="BU68" s="376"/>
      <c r="BV68" s="377"/>
      <c r="BW68" s="377"/>
      <c r="BX68" s="377"/>
      <c r="BY68" s="376"/>
      <c r="BZ68" s="376"/>
      <c r="CA68" s="377"/>
      <c r="CB68" s="377"/>
      <c r="CC68" s="377"/>
      <c r="CD68" s="376"/>
      <c r="CE68" s="376"/>
      <c r="CF68" s="377"/>
      <c r="CG68" s="377"/>
      <c r="CH68" s="377"/>
      <c r="CI68" s="376"/>
      <c r="CJ68" s="376"/>
      <c r="CK68" s="377"/>
      <c r="CL68" s="377"/>
      <c r="CM68" s="377"/>
      <c r="CN68" s="376"/>
      <c r="CO68" s="376"/>
      <c r="CP68" s="376"/>
      <c r="CQ68" s="377"/>
      <c r="CR68" s="376"/>
      <c r="CS68" s="376"/>
      <c r="CT68" s="377"/>
      <c r="CU68" s="377"/>
      <c r="CV68" s="377"/>
      <c r="CW68" s="377"/>
      <c r="CX68" s="377"/>
      <c r="CY68" s="377"/>
      <c r="CZ68" s="377"/>
      <c r="DA68" s="377"/>
      <c r="DB68" s="377"/>
      <c r="DC68" s="377"/>
      <c r="DD68" s="377"/>
      <c r="DE68" s="377"/>
      <c r="DF68" s="376"/>
      <c r="DG68" s="376"/>
      <c r="DH68" s="377"/>
      <c r="DI68" s="377"/>
      <c r="DJ68" s="376"/>
      <c r="DK68" s="376"/>
      <c r="DL68" s="377"/>
      <c r="DM68" s="377"/>
      <c r="DN68" s="376"/>
      <c r="DO68" s="377"/>
      <c r="DP68" s="376"/>
      <c r="DQ68" s="376"/>
      <c r="DR68" s="376"/>
      <c r="DS68" s="379"/>
      <c r="DT68" s="379"/>
      <c r="DU68" s="373">
        <v>68</v>
      </c>
    </row>
    <row r="69" spans="5:125" x14ac:dyDescent="0.2">
      <c r="E69" s="376"/>
      <c r="F69" s="376"/>
      <c r="G69" s="377"/>
      <c r="H69" s="377"/>
      <c r="I69" s="377"/>
      <c r="J69" s="377"/>
      <c r="K69" s="377"/>
      <c r="L69" s="377"/>
      <c r="M69" s="377"/>
      <c r="N69" s="377"/>
      <c r="O69" s="377"/>
      <c r="P69" s="377"/>
      <c r="Q69" s="377"/>
      <c r="R69" s="377"/>
      <c r="S69" s="377"/>
      <c r="T69" s="377"/>
      <c r="U69" s="376"/>
      <c r="V69" s="378"/>
      <c r="W69" s="378"/>
      <c r="X69" s="376"/>
      <c r="Y69" s="376"/>
      <c r="Z69" s="377"/>
      <c r="AA69" s="377"/>
      <c r="AB69" s="376"/>
      <c r="AC69" s="376"/>
      <c r="AD69" s="377"/>
      <c r="AE69" s="376"/>
      <c r="AF69" s="376"/>
      <c r="AG69" s="376"/>
      <c r="AH69" s="377"/>
      <c r="AI69" s="377"/>
      <c r="AJ69" s="377"/>
      <c r="AK69" s="376"/>
      <c r="AL69" s="376"/>
      <c r="AM69" s="377"/>
      <c r="AN69" s="377"/>
      <c r="AO69" s="377"/>
      <c r="AP69" s="376"/>
      <c r="AQ69" s="376"/>
      <c r="AR69" s="377"/>
      <c r="AS69" s="377"/>
      <c r="AT69" s="377"/>
      <c r="AU69" s="376"/>
      <c r="AV69" s="376"/>
      <c r="AW69" s="377"/>
      <c r="AX69" s="377"/>
      <c r="AY69" s="377"/>
      <c r="AZ69" s="376"/>
      <c r="BA69" s="376"/>
      <c r="BB69" s="377"/>
      <c r="BC69" s="377"/>
      <c r="BD69" s="377"/>
      <c r="BE69" s="376"/>
      <c r="BF69" s="376"/>
      <c r="BG69" s="377"/>
      <c r="BH69" s="377"/>
      <c r="BI69" s="377"/>
      <c r="BJ69" s="376"/>
      <c r="BK69" s="376"/>
      <c r="BL69" s="377"/>
      <c r="BM69" s="377"/>
      <c r="BN69" s="377"/>
      <c r="BO69" s="376"/>
      <c r="BP69" s="376"/>
      <c r="BQ69" s="377"/>
      <c r="BR69" s="377"/>
      <c r="BS69" s="377"/>
      <c r="BT69" s="376"/>
      <c r="BU69" s="376"/>
      <c r="BV69" s="377"/>
      <c r="BW69" s="377"/>
      <c r="BX69" s="377"/>
      <c r="BY69" s="376"/>
      <c r="BZ69" s="376"/>
      <c r="CA69" s="377"/>
      <c r="CB69" s="377"/>
      <c r="CC69" s="377"/>
      <c r="CD69" s="376"/>
      <c r="CE69" s="376"/>
      <c r="CF69" s="377"/>
      <c r="CG69" s="377"/>
      <c r="CH69" s="377"/>
      <c r="CI69" s="376"/>
      <c r="CJ69" s="376"/>
      <c r="CK69" s="377"/>
      <c r="CL69" s="377"/>
      <c r="CM69" s="377"/>
      <c r="CN69" s="376"/>
      <c r="CO69" s="376"/>
      <c r="CP69" s="376"/>
      <c r="CQ69" s="377"/>
      <c r="CR69" s="376"/>
      <c r="CS69" s="376"/>
      <c r="CT69" s="377"/>
      <c r="CU69" s="377"/>
      <c r="CV69" s="377"/>
      <c r="CW69" s="377"/>
      <c r="CX69" s="377"/>
      <c r="CY69" s="377"/>
      <c r="CZ69" s="377"/>
      <c r="DA69" s="377"/>
      <c r="DB69" s="377"/>
      <c r="DC69" s="377"/>
      <c r="DD69" s="377"/>
      <c r="DE69" s="377"/>
      <c r="DF69" s="376"/>
      <c r="DG69" s="376"/>
      <c r="DH69" s="377"/>
      <c r="DI69" s="377"/>
      <c r="DJ69" s="376"/>
      <c r="DK69" s="376"/>
      <c r="DL69" s="377"/>
      <c r="DM69" s="377"/>
      <c r="DN69" s="376"/>
      <c r="DO69" s="377"/>
      <c r="DP69" s="376"/>
      <c r="DQ69" s="376"/>
      <c r="DR69" s="376"/>
      <c r="DS69" s="379"/>
      <c r="DT69" s="379"/>
      <c r="DU69" s="373">
        <v>69</v>
      </c>
    </row>
    <row r="70" spans="5:125" x14ac:dyDescent="0.2">
      <c r="E70" s="376"/>
      <c r="F70" s="376"/>
      <c r="G70" s="377"/>
      <c r="H70" s="377"/>
      <c r="I70" s="377"/>
      <c r="J70" s="377"/>
      <c r="K70" s="377"/>
      <c r="L70" s="377"/>
      <c r="M70" s="377"/>
      <c r="N70" s="377"/>
      <c r="O70" s="377"/>
      <c r="P70" s="377"/>
      <c r="Q70" s="377"/>
      <c r="R70" s="377"/>
      <c r="S70" s="377"/>
      <c r="T70" s="377"/>
      <c r="U70" s="376"/>
      <c r="V70" s="378"/>
      <c r="W70" s="378"/>
      <c r="X70" s="376"/>
      <c r="Y70" s="376"/>
      <c r="Z70" s="377"/>
      <c r="AA70" s="377"/>
      <c r="AB70" s="376"/>
      <c r="AC70" s="376"/>
      <c r="AD70" s="377"/>
      <c r="AE70" s="376"/>
      <c r="AF70" s="376"/>
      <c r="AG70" s="376"/>
      <c r="AH70" s="377"/>
      <c r="AI70" s="377"/>
      <c r="AJ70" s="377"/>
      <c r="AK70" s="376"/>
      <c r="AL70" s="376"/>
      <c r="AM70" s="377"/>
      <c r="AN70" s="377"/>
      <c r="AO70" s="377"/>
      <c r="AP70" s="376"/>
      <c r="AQ70" s="376"/>
      <c r="AR70" s="377"/>
      <c r="AS70" s="377"/>
      <c r="AT70" s="377"/>
      <c r="AU70" s="376"/>
      <c r="AV70" s="376"/>
      <c r="AW70" s="377"/>
      <c r="AX70" s="377"/>
      <c r="AY70" s="377"/>
      <c r="AZ70" s="376"/>
      <c r="BA70" s="376"/>
      <c r="BB70" s="377"/>
      <c r="BC70" s="377"/>
      <c r="BD70" s="377"/>
      <c r="BE70" s="376"/>
      <c r="BF70" s="376"/>
      <c r="BG70" s="377"/>
      <c r="BH70" s="377"/>
      <c r="BI70" s="377"/>
      <c r="BJ70" s="376"/>
      <c r="BK70" s="376"/>
      <c r="BL70" s="377"/>
      <c r="BM70" s="377"/>
      <c r="BN70" s="377"/>
      <c r="BO70" s="376"/>
      <c r="BP70" s="376"/>
      <c r="BQ70" s="377"/>
      <c r="BR70" s="377"/>
      <c r="BS70" s="377"/>
      <c r="BT70" s="376"/>
      <c r="BU70" s="376"/>
      <c r="BV70" s="377"/>
      <c r="BW70" s="377"/>
      <c r="BX70" s="377"/>
      <c r="BY70" s="376"/>
      <c r="BZ70" s="376"/>
      <c r="CA70" s="377"/>
      <c r="CB70" s="377"/>
      <c r="CC70" s="377"/>
      <c r="CD70" s="376"/>
      <c r="CE70" s="376"/>
      <c r="CF70" s="377"/>
      <c r="CG70" s="377"/>
      <c r="CH70" s="377"/>
      <c r="CI70" s="376"/>
      <c r="CJ70" s="376"/>
      <c r="CK70" s="377"/>
      <c r="CL70" s="377"/>
      <c r="CM70" s="377"/>
      <c r="CN70" s="376"/>
      <c r="CO70" s="376"/>
      <c r="CP70" s="376"/>
      <c r="CQ70" s="377"/>
      <c r="CR70" s="376"/>
      <c r="CS70" s="376"/>
      <c r="CT70" s="377"/>
      <c r="CU70" s="377"/>
      <c r="CV70" s="377"/>
      <c r="CW70" s="377"/>
      <c r="CX70" s="377"/>
      <c r="CY70" s="377"/>
      <c r="CZ70" s="377"/>
      <c r="DA70" s="377"/>
      <c r="DB70" s="377"/>
      <c r="DC70" s="377"/>
      <c r="DD70" s="377"/>
      <c r="DE70" s="377"/>
      <c r="DF70" s="376"/>
      <c r="DG70" s="376"/>
      <c r="DH70" s="377"/>
      <c r="DI70" s="377"/>
      <c r="DJ70" s="376"/>
      <c r="DK70" s="376"/>
      <c r="DL70" s="377"/>
      <c r="DM70" s="377"/>
      <c r="DN70" s="376"/>
      <c r="DO70" s="377"/>
      <c r="DP70" s="376"/>
      <c r="DQ70" s="376"/>
      <c r="DR70" s="376"/>
      <c r="DS70" s="379"/>
      <c r="DT70" s="379"/>
      <c r="DU70" s="373">
        <v>70</v>
      </c>
    </row>
    <row r="71" spans="5:125" x14ac:dyDescent="0.2">
      <c r="E71" s="376"/>
      <c r="F71" s="376"/>
      <c r="G71" s="377"/>
      <c r="H71" s="377"/>
      <c r="I71" s="377"/>
      <c r="J71" s="377"/>
      <c r="K71" s="377"/>
      <c r="L71" s="377"/>
      <c r="M71" s="377"/>
      <c r="N71" s="377"/>
      <c r="O71" s="377"/>
      <c r="P71" s="377"/>
      <c r="Q71" s="377"/>
      <c r="R71" s="377"/>
      <c r="S71" s="377"/>
      <c r="T71" s="377"/>
      <c r="U71" s="376"/>
      <c r="V71" s="378"/>
      <c r="W71" s="378"/>
      <c r="X71" s="376"/>
      <c r="Y71" s="376"/>
      <c r="Z71" s="377"/>
      <c r="AA71" s="377"/>
      <c r="AB71" s="376"/>
      <c r="AC71" s="376"/>
      <c r="AD71" s="377"/>
      <c r="AE71" s="376"/>
      <c r="AF71" s="376"/>
      <c r="AG71" s="376"/>
      <c r="AH71" s="377"/>
      <c r="AI71" s="377"/>
      <c r="AJ71" s="377"/>
      <c r="AK71" s="376"/>
      <c r="AL71" s="376"/>
      <c r="AM71" s="377"/>
      <c r="AN71" s="377"/>
      <c r="AO71" s="377"/>
      <c r="AP71" s="376"/>
      <c r="AQ71" s="376"/>
      <c r="AR71" s="377"/>
      <c r="AS71" s="377"/>
      <c r="AT71" s="377"/>
      <c r="AU71" s="376"/>
      <c r="AV71" s="376"/>
      <c r="AW71" s="377"/>
      <c r="AX71" s="377"/>
      <c r="AY71" s="377"/>
      <c r="AZ71" s="376"/>
      <c r="BA71" s="376"/>
      <c r="BB71" s="377"/>
      <c r="BC71" s="377"/>
      <c r="BD71" s="377"/>
      <c r="BE71" s="376"/>
      <c r="BF71" s="376"/>
      <c r="BG71" s="377"/>
      <c r="BH71" s="377"/>
      <c r="BI71" s="377"/>
      <c r="BJ71" s="376"/>
      <c r="BK71" s="376"/>
      <c r="BL71" s="377"/>
      <c r="BM71" s="377"/>
      <c r="BN71" s="377"/>
      <c r="BO71" s="376"/>
      <c r="BP71" s="376"/>
      <c r="BQ71" s="377"/>
      <c r="BR71" s="377"/>
      <c r="BS71" s="377"/>
      <c r="BT71" s="376"/>
      <c r="BU71" s="376"/>
      <c r="BV71" s="377"/>
      <c r="BW71" s="377"/>
      <c r="BX71" s="377"/>
      <c r="BY71" s="376"/>
      <c r="BZ71" s="376"/>
      <c r="CA71" s="377"/>
      <c r="CB71" s="377"/>
      <c r="CC71" s="377"/>
      <c r="CD71" s="376"/>
      <c r="CE71" s="376"/>
      <c r="CF71" s="377"/>
      <c r="CG71" s="377"/>
      <c r="CH71" s="377"/>
      <c r="CI71" s="376"/>
      <c r="CJ71" s="376"/>
      <c r="CK71" s="377"/>
      <c r="CL71" s="377"/>
      <c r="CM71" s="377"/>
      <c r="CN71" s="376"/>
      <c r="CO71" s="376"/>
      <c r="CP71" s="376"/>
      <c r="CQ71" s="377"/>
      <c r="CR71" s="376"/>
      <c r="CS71" s="376"/>
      <c r="CT71" s="377"/>
      <c r="CU71" s="377"/>
      <c r="CV71" s="377"/>
      <c r="CW71" s="377"/>
      <c r="CX71" s="377"/>
      <c r="CY71" s="377"/>
      <c r="CZ71" s="377"/>
      <c r="DA71" s="377"/>
      <c r="DB71" s="377"/>
      <c r="DC71" s="377"/>
      <c r="DD71" s="377"/>
      <c r="DE71" s="377"/>
      <c r="DF71" s="376"/>
      <c r="DG71" s="376"/>
      <c r="DH71" s="377"/>
      <c r="DI71" s="377"/>
      <c r="DJ71" s="376"/>
      <c r="DK71" s="376"/>
      <c r="DL71" s="377"/>
      <c r="DM71" s="377"/>
      <c r="DN71" s="376"/>
      <c r="DO71" s="377"/>
      <c r="DP71" s="376"/>
      <c r="DQ71" s="376"/>
      <c r="DR71" s="376"/>
      <c r="DS71" s="379"/>
      <c r="DT71" s="379"/>
      <c r="DU71" s="373">
        <v>71</v>
      </c>
    </row>
    <row r="72" spans="5:125" x14ac:dyDescent="0.2">
      <c r="E72" s="376"/>
      <c r="F72" s="376"/>
      <c r="G72" s="377"/>
      <c r="H72" s="377"/>
      <c r="I72" s="377"/>
      <c r="J72" s="377"/>
      <c r="K72" s="377"/>
      <c r="L72" s="377"/>
      <c r="M72" s="377"/>
      <c r="N72" s="377"/>
      <c r="O72" s="377"/>
      <c r="P72" s="377"/>
      <c r="Q72" s="377"/>
      <c r="R72" s="377"/>
      <c r="S72" s="377"/>
      <c r="T72" s="377"/>
      <c r="U72" s="376"/>
      <c r="V72" s="378"/>
      <c r="W72" s="378"/>
      <c r="X72" s="376"/>
      <c r="Y72" s="376"/>
      <c r="Z72" s="377"/>
      <c r="AA72" s="377"/>
      <c r="AB72" s="376"/>
      <c r="AC72" s="376"/>
      <c r="AD72" s="377"/>
      <c r="AE72" s="376"/>
      <c r="AF72" s="376"/>
      <c r="AG72" s="376"/>
      <c r="AH72" s="377"/>
      <c r="AI72" s="377"/>
      <c r="AJ72" s="377"/>
      <c r="AK72" s="376"/>
      <c r="AL72" s="376"/>
      <c r="AM72" s="377"/>
      <c r="AN72" s="377"/>
      <c r="AO72" s="377"/>
      <c r="AP72" s="376"/>
      <c r="AQ72" s="376"/>
      <c r="AR72" s="377"/>
      <c r="AS72" s="377"/>
      <c r="AT72" s="377"/>
      <c r="AU72" s="376"/>
      <c r="AV72" s="376"/>
      <c r="AW72" s="377"/>
      <c r="AX72" s="377"/>
      <c r="AY72" s="377"/>
      <c r="AZ72" s="376"/>
      <c r="BA72" s="376"/>
      <c r="BB72" s="377"/>
      <c r="BC72" s="377"/>
      <c r="BD72" s="377"/>
      <c r="BE72" s="376"/>
      <c r="BF72" s="376"/>
      <c r="BG72" s="377"/>
      <c r="BH72" s="377"/>
      <c r="BI72" s="377"/>
      <c r="BJ72" s="376"/>
      <c r="BK72" s="376"/>
      <c r="BL72" s="377"/>
      <c r="BM72" s="377"/>
      <c r="BN72" s="377"/>
      <c r="BO72" s="376"/>
      <c r="BP72" s="376"/>
      <c r="BQ72" s="377"/>
      <c r="BR72" s="377"/>
      <c r="BS72" s="377"/>
      <c r="BT72" s="376"/>
      <c r="BU72" s="376"/>
      <c r="BV72" s="377"/>
      <c r="BW72" s="377"/>
      <c r="BX72" s="377"/>
      <c r="BY72" s="376"/>
      <c r="BZ72" s="376"/>
      <c r="CA72" s="377"/>
      <c r="CB72" s="377"/>
      <c r="CC72" s="377"/>
      <c r="CD72" s="376"/>
      <c r="CE72" s="376"/>
      <c r="CF72" s="377"/>
      <c r="CG72" s="377"/>
      <c r="CH72" s="377"/>
      <c r="CI72" s="376"/>
      <c r="CJ72" s="376"/>
      <c r="CK72" s="377"/>
      <c r="CL72" s="377"/>
      <c r="CM72" s="377"/>
      <c r="CN72" s="376"/>
      <c r="CO72" s="376"/>
      <c r="CP72" s="376"/>
      <c r="CQ72" s="377"/>
      <c r="CR72" s="376"/>
      <c r="CS72" s="376"/>
      <c r="CT72" s="377"/>
      <c r="CU72" s="377"/>
      <c r="CV72" s="377"/>
      <c r="CW72" s="377"/>
      <c r="CX72" s="377"/>
      <c r="CY72" s="377"/>
      <c r="CZ72" s="377"/>
      <c r="DA72" s="377"/>
      <c r="DB72" s="377"/>
      <c r="DC72" s="377"/>
      <c r="DD72" s="377"/>
      <c r="DE72" s="377"/>
      <c r="DF72" s="376"/>
      <c r="DG72" s="376"/>
      <c r="DH72" s="377"/>
      <c r="DI72" s="377"/>
      <c r="DJ72" s="376"/>
      <c r="DK72" s="376"/>
      <c r="DL72" s="377"/>
      <c r="DM72" s="377"/>
      <c r="DN72" s="376"/>
      <c r="DO72" s="377"/>
      <c r="DP72" s="376"/>
      <c r="DQ72" s="376"/>
      <c r="DR72" s="376"/>
      <c r="DS72" s="379"/>
      <c r="DT72" s="379"/>
      <c r="DU72" s="373">
        <v>72</v>
      </c>
    </row>
    <row r="73" spans="5:125" x14ac:dyDescent="0.2">
      <c r="E73" s="376"/>
      <c r="F73" s="376"/>
      <c r="G73" s="377"/>
      <c r="H73" s="377"/>
      <c r="I73" s="377"/>
      <c r="J73" s="377"/>
      <c r="K73" s="377"/>
      <c r="L73" s="377"/>
      <c r="M73" s="377"/>
      <c r="N73" s="377"/>
      <c r="O73" s="377"/>
      <c r="P73" s="377"/>
      <c r="Q73" s="377"/>
      <c r="R73" s="377"/>
      <c r="S73" s="377"/>
      <c r="T73" s="377"/>
      <c r="U73" s="376"/>
      <c r="V73" s="378"/>
      <c r="W73" s="378"/>
      <c r="X73" s="376"/>
      <c r="Y73" s="376"/>
      <c r="Z73" s="377"/>
      <c r="AA73" s="377"/>
      <c r="AB73" s="376"/>
      <c r="AC73" s="376"/>
      <c r="AD73" s="377"/>
      <c r="AE73" s="376"/>
      <c r="AF73" s="376"/>
      <c r="AG73" s="376"/>
      <c r="AH73" s="377"/>
      <c r="AI73" s="377"/>
      <c r="AJ73" s="377"/>
      <c r="AK73" s="376"/>
      <c r="AL73" s="376"/>
      <c r="AM73" s="377"/>
      <c r="AN73" s="377"/>
      <c r="AO73" s="377"/>
      <c r="AP73" s="376"/>
      <c r="AQ73" s="376"/>
      <c r="AR73" s="377"/>
      <c r="AS73" s="377"/>
      <c r="AT73" s="377"/>
      <c r="AU73" s="376"/>
      <c r="AV73" s="376"/>
      <c r="AW73" s="377"/>
      <c r="AX73" s="377"/>
      <c r="AY73" s="377"/>
      <c r="AZ73" s="376"/>
      <c r="BA73" s="376"/>
      <c r="BB73" s="377"/>
      <c r="BC73" s="377"/>
      <c r="BD73" s="377"/>
      <c r="BE73" s="376"/>
      <c r="BF73" s="376"/>
      <c r="BG73" s="377"/>
      <c r="BH73" s="377"/>
      <c r="BI73" s="377"/>
      <c r="BJ73" s="376"/>
      <c r="BK73" s="376"/>
      <c r="BL73" s="377"/>
      <c r="BM73" s="377"/>
      <c r="BN73" s="377"/>
      <c r="BO73" s="376"/>
      <c r="BP73" s="376"/>
      <c r="BQ73" s="377"/>
      <c r="BR73" s="377"/>
      <c r="BS73" s="377"/>
      <c r="BT73" s="376"/>
      <c r="BU73" s="376"/>
      <c r="BV73" s="377"/>
      <c r="BW73" s="377"/>
      <c r="BX73" s="377"/>
      <c r="BY73" s="376"/>
      <c r="BZ73" s="376"/>
      <c r="CA73" s="377"/>
      <c r="CB73" s="377"/>
      <c r="CC73" s="377"/>
      <c r="CD73" s="376"/>
      <c r="CE73" s="376"/>
      <c r="CF73" s="377"/>
      <c r="CG73" s="377"/>
      <c r="CH73" s="377"/>
      <c r="CI73" s="376"/>
      <c r="CJ73" s="376"/>
      <c r="CK73" s="377"/>
      <c r="CL73" s="377"/>
      <c r="CM73" s="377"/>
      <c r="CN73" s="376"/>
      <c r="CO73" s="376"/>
      <c r="CP73" s="376"/>
      <c r="CQ73" s="377"/>
      <c r="CR73" s="376"/>
      <c r="CS73" s="376"/>
      <c r="CT73" s="377"/>
      <c r="CU73" s="377"/>
      <c r="CV73" s="377"/>
      <c r="CW73" s="377"/>
      <c r="CX73" s="377"/>
      <c r="CY73" s="377"/>
      <c r="CZ73" s="377"/>
      <c r="DA73" s="377"/>
      <c r="DB73" s="377"/>
      <c r="DC73" s="377"/>
      <c r="DD73" s="377"/>
      <c r="DE73" s="377"/>
      <c r="DF73" s="376"/>
      <c r="DG73" s="376"/>
      <c r="DH73" s="377"/>
      <c r="DI73" s="377"/>
      <c r="DJ73" s="376"/>
      <c r="DK73" s="376"/>
      <c r="DL73" s="377"/>
      <c r="DM73" s="377"/>
      <c r="DN73" s="376"/>
      <c r="DO73" s="377"/>
      <c r="DP73" s="376"/>
      <c r="DQ73" s="376"/>
      <c r="DR73" s="376"/>
      <c r="DS73" s="379"/>
      <c r="DT73" s="379"/>
      <c r="DU73" s="373">
        <v>73</v>
      </c>
    </row>
    <row r="74" spans="5:125" x14ac:dyDescent="0.2">
      <c r="E74" s="376"/>
      <c r="F74" s="376"/>
      <c r="G74" s="377"/>
      <c r="H74" s="377"/>
      <c r="I74" s="377"/>
      <c r="J74" s="377"/>
      <c r="K74" s="377"/>
      <c r="L74" s="377"/>
      <c r="M74" s="377"/>
      <c r="N74" s="377"/>
      <c r="O74" s="377"/>
      <c r="P74" s="377"/>
      <c r="Q74" s="377"/>
      <c r="R74" s="377"/>
      <c r="S74" s="377"/>
      <c r="T74" s="377"/>
      <c r="U74" s="376"/>
      <c r="V74" s="378"/>
      <c r="W74" s="378"/>
      <c r="X74" s="376"/>
      <c r="Y74" s="376"/>
      <c r="Z74" s="377"/>
      <c r="AA74" s="377"/>
      <c r="AB74" s="376"/>
      <c r="AC74" s="376"/>
      <c r="AD74" s="377"/>
      <c r="AE74" s="376"/>
      <c r="AF74" s="376"/>
      <c r="AG74" s="376"/>
      <c r="AH74" s="377"/>
      <c r="AI74" s="377"/>
      <c r="AJ74" s="377"/>
      <c r="AK74" s="376"/>
      <c r="AL74" s="376"/>
      <c r="AM74" s="377"/>
      <c r="AN74" s="377"/>
      <c r="AO74" s="377"/>
      <c r="AP74" s="376"/>
      <c r="AQ74" s="376"/>
      <c r="AR74" s="377"/>
      <c r="AS74" s="377"/>
      <c r="AT74" s="377"/>
      <c r="AU74" s="376"/>
      <c r="AV74" s="376"/>
      <c r="AW74" s="377"/>
      <c r="AX74" s="377"/>
      <c r="AY74" s="377"/>
      <c r="AZ74" s="376"/>
      <c r="BA74" s="376"/>
      <c r="BB74" s="377"/>
      <c r="BC74" s="377"/>
      <c r="BD74" s="377"/>
      <c r="BE74" s="376"/>
      <c r="BF74" s="376"/>
      <c r="BG74" s="377"/>
      <c r="BH74" s="377"/>
      <c r="BI74" s="377"/>
      <c r="BJ74" s="376"/>
      <c r="BK74" s="376"/>
      <c r="BL74" s="377"/>
      <c r="BM74" s="377"/>
      <c r="BN74" s="377"/>
      <c r="BO74" s="376"/>
      <c r="BP74" s="376"/>
      <c r="BQ74" s="377"/>
      <c r="BR74" s="377"/>
      <c r="BS74" s="377"/>
      <c r="BT74" s="376"/>
      <c r="BU74" s="376"/>
      <c r="BV74" s="377"/>
      <c r="BW74" s="377"/>
      <c r="BX74" s="377"/>
      <c r="BY74" s="376"/>
      <c r="BZ74" s="376"/>
      <c r="CA74" s="377"/>
      <c r="CB74" s="377"/>
      <c r="CC74" s="377"/>
      <c r="CD74" s="376"/>
      <c r="CE74" s="376"/>
      <c r="CF74" s="377"/>
      <c r="CG74" s="377"/>
      <c r="CH74" s="377"/>
      <c r="CI74" s="376"/>
      <c r="CJ74" s="376"/>
      <c r="CK74" s="377"/>
      <c r="CL74" s="377"/>
      <c r="CM74" s="377"/>
      <c r="CN74" s="376"/>
      <c r="CO74" s="376"/>
      <c r="CP74" s="376"/>
      <c r="CQ74" s="377"/>
      <c r="CR74" s="376"/>
      <c r="CS74" s="376"/>
      <c r="CT74" s="377"/>
      <c r="CU74" s="377"/>
      <c r="CV74" s="377"/>
      <c r="CW74" s="377"/>
      <c r="CX74" s="377"/>
      <c r="CY74" s="377"/>
      <c r="CZ74" s="377"/>
      <c r="DA74" s="377"/>
      <c r="DB74" s="377"/>
      <c r="DC74" s="377"/>
      <c r="DD74" s="377"/>
      <c r="DE74" s="377"/>
      <c r="DF74" s="376"/>
      <c r="DG74" s="376"/>
      <c r="DH74" s="377"/>
      <c r="DI74" s="377"/>
      <c r="DJ74" s="376"/>
      <c r="DK74" s="376"/>
      <c r="DL74" s="377"/>
      <c r="DM74" s="377"/>
      <c r="DN74" s="376"/>
      <c r="DO74" s="377"/>
      <c r="DP74" s="376"/>
      <c r="DQ74" s="376"/>
      <c r="DR74" s="376"/>
      <c r="DS74" s="379"/>
      <c r="DT74" s="379"/>
      <c r="DU74" s="373">
        <v>74</v>
      </c>
    </row>
    <row r="75" spans="5:125" x14ac:dyDescent="0.2">
      <c r="E75" s="376"/>
      <c r="F75" s="376"/>
      <c r="G75" s="377"/>
      <c r="H75" s="377"/>
      <c r="I75" s="377"/>
      <c r="J75" s="377"/>
      <c r="K75" s="377"/>
      <c r="L75" s="377"/>
      <c r="M75" s="377"/>
      <c r="N75" s="377"/>
      <c r="O75" s="377"/>
      <c r="P75" s="377"/>
      <c r="Q75" s="377"/>
      <c r="R75" s="377"/>
      <c r="S75" s="377"/>
      <c r="T75" s="377"/>
      <c r="U75" s="376"/>
      <c r="V75" s="378"/>
      <c r="W75" s="378"/>
      <c r="X75" s="376"/>
      <c r="Y75" s="376"/>
      <c r="Z75" s="377"/>
      <c r="AA75" s="377"/>
      <c r="AB75" s="376"/>
      <c r="AC75" s="376"/>
      <c r="AD75" s="377"/>
      <c r="AE75" s="376"/>
      <c r="AF75" s="376"/>
      <c r="AG75" s="376"/>
      <c r="AH75" s="377"/>
      <c r="AI75" s="377"/>
      <c r="AJ75" s="377"/>
      <c r="AK75" s="376"/>
      <c r="AL75" s="376"/>
      <c r="AM75" s="377"/>
      <c r="AN75" s="377"/>
      <c r="AO75" s="377"/>
      <c r="AP75" s="376"/>
      <c r="AQ75" s="376"/>
      <c r="AR75" s="377"/>
      <c r="AS75" s="377"/>
      <c r="AT75" s="377"/>
      <c r="AU75" s="376"/>
      <c r="AV75" s="376"/>
      <c r="AW75" s="377"/>
      <c r="AX75" s="377"/>
      <c r="AY75" s="377"/>
      <c r="AZ75" s="376"/>
      <c r="BA75" s="376"/>
      <c r="BB75" s="377"/>
      <c r="BC75" s="377"/>
      <c r="BD75" s="377"/>
      <c r="BE75" s="376"/>
      <c r="BF75" s="376"/>
      <c r="BG75" s="377"/>
      <c r="BH75" s="377"/>
      <c r="BI75" s="377"/>
      <c r="BJ75" s="376"/>
      <c r="BK75" s="376"/>
      <c r="BL75" s="377"/>
      <c r="BM75" s="377"/>
      <c r="BN75" s="377"/>
      <c r="BO75" s="376"/>
      <c r="BP75" s="376"/>
      <c r="BQ75" s="377"/>
      <c r="BR75" s="377"/>
      <c r="BS75" s="377"/>
      <c r="BT75" s="376"/>
      <c r="BU75" s="376"/>
      <c r="BV75" s="377"/>
      <c r="BW75" s="377"/>
      <c r="BX75" s="377"/>
      <c r="BY75" s="376"/>
      <c r="BZ75" s="376"/>
      <c r="CA75" s="377"/>
      <c r="CB75" s="377"/>
      <c r="CC75" s="377"/>
      <c r="CD75" s="376"/>
      <c r="CE75" s="376"/>
      <c r="CF75" s="377"/>
      <c r="CG75" s="377"/>
      <c r="CH75" s="377"/>
      <c r="CI75" s="376"/>
      <c r="CJ75" s="376"/>
      <c r="CK75" s="377"/>
      <c r="CL75" s="377"/>
      <c r="CM75" s="377"/>
      <c r="CN75" s="376"/>
      <c r="CO75" s="376"/>
      <c r="CP75" s="376"/>
      <c r="CQ75" s="377"/>
      <c r="CR75" s="376"/>
      <c r="CS75" s="376"/>
      <c r="CT75" s="377"/>
      <c r="CU75" s="377"/>
      <c r="CV75" s="377"/>
      <c r="CW75" s="377"/>
      <c r="CX75" s="377"/>
      <c r="CY75" s="377"/>
      <c r="CZ75" s="377"/>
      <c r="DA75" s="377"/>
      <c r="DB75" s="377"/>
      <c r="DC75" s="377"/>
      <c r="DD75" s="377"/>
      <c r="DE75" s="377"/>
      <c r="DF75" s="376"/>
      <c r="DG75" s="376"/>
      <c r="DH75" s="377"/>
      <c r="DI75" s="377"/>
      <c r="DJ75" s="376"/>
      <c r="DK75" s="376"/>
      <c r="DL75" s="377"/>
      <c r="DM75" s="377"/>
      <c r="DN75" s="376"/>
      <c r="DO75" s="377"/>
      <c r="DP75" s="376"/>
      <c r="DQ75" s="376"/>
      <c r="DR75" s="376"/>
      <c r="DS75" s="379"/>
      <c r="DT75" s="379"/>
      <c r="DU75" s="373">
        <v>75</v>
      </c>
    </row>
    <row r="76" spans="5:125" x14ac:dyDescent="0.2">
      <c r="E76" s="376"/>
      <c r="F76" s="376"/>
      <c r="G76" s="377"/>
      <c r="H76" s="377"/>
      <c r="I76" s="377"/>
      <c r="J76" s="377"/>
      <c r="K76" s="377"/>
      <c r="L76" s="377"/>
      <c r="M76" s="377"/>
      <c r="N76" s="377"/>
      <c r="O76" s="377"/>
      <c r="P76" s="377"/>
      <c r="Q76" s="377"/>
      <c r="R76" s="377"/>
      <c r="S76" s="377"/>
      <c r="T76" s="377"/>
      <c r="U76" s="376"/>
      <c r="V76" s="378"/>
      <c r="W76" s="378"/>
      <c r="X76" s="376"/>
      <c r="Y76" s="376"/>
      <c r="Z76" s="377"/>
      <c r="AA76" s="377"/>
      <c r="AB76" s="376"/>
      <c r="AC76" s="376"/>
      <c r="AD76" s="377"/>
      <c r="AE76" s="376"/>
      <c r="AF76" s="376"/>
      <c r="AG76" s="376"/>
      <c r="AH76" s="377"/>
      <c r="AI76" s="377"/>
      <c r="AJ76" s="377"/>
      <c r="AK76" s="376"/>
      <c r="AL76" s="376"/>
      <c r="AM76" s="377"/>
      <c r="AN76" s="377"/>
      <c r="AO76" s="377"/>
      <c r="AP76" s="376"/>
      <c r="AQ76" s="376"/>
      <c r="AR76" s="377"/>
      <c r="AS76" s="377"/>
      <c r="AT76" s="377"/>
      <c r="AU76" s="376"/>
      <c r="AV76" s="376"/>
      <c r="AW76" s="377"/>
      <c r="AX76" s="377"/>
      <c r="AY76" s="377"/>
      <c r="AZ76" s="376"/>
      <c r="BA76" s="376"/>
      <c r="BB76" s="377"/>
      <c r="BC76" s="377"/>
      <c r="BD76" s="377"/>
      <c r="BE76" s="376"/>
      <c r="BF76" s="376"/>
      <c r="BG76" s="377"/>
      <c r="BH76" s="377"/>
      <c r="BI76" s="377"/>
      <c r="BJ76" s="376"/>
      <c r="BK76" s="376"/>
      <c r="BL76" s="377"/>
      <c r="BM76" s="377"/>
      <c r="BN76" s="377"/>
      <c r="BO76" s="376"/>
      <c r="BP76" s="376"/>
      <c r="BQ76" s="377"/>
      <c r="BR76" s="377"/>
      <c r="BS76" s="377"/>
      <c r="BT76" s="376"/>
      <c r="BU76" s="376"/>
      <c r="BV76" s="377"/>
      <c r="BW76" s="377"/>
      <c r="BX76" s="377"/>
      <c r="BY76" s="376"/>
      <c r="BZ76" s="376"/>
      <c r="CA76" s="377"/>
      <c r="CB76" s="377"/>
      <c r="CC76" s="377"/>
      <c r="CD76" s="376"/>
      <c r="CE76" s="376"/>
      <c r="CF76" s="377"/>
      <c r="CG76" s="377"/>
      <c r="CH76" s="377"/>
      <c r="CI76" s="376"/>
      <c r="CJ76" s="376"/>
      <c r="CK76" s="377"/>
      <c r="CL76" s="377"/>
      <c r="CM76" s="377"/>
      <c r="CN76" s="376"/>
      <c r="CO76" s="376"/>
      <c r="CP76" s="376"/>
      <c r="CQ76" s="377"/>
      <c r="CR76" s="376"/>
      <c r="CS76" s="376"/>
      <c r="CT76" s="377"/>
      <c r="CU76" s="377"/>
      <c r="CV76" s="377"/>
      <c r="CW76" s="377"/>
      <c r="CX76" s="377"/>
      <c r="CY76" s="377"/>
      <c r="CZ76" s="377"/>
      <c r="DA76" s="377"/>
      <c r="DB76" s="377"/>
      <c r="DC76" s="377"/>
      <c r="DD76" s="377"/>
      <c r="DE76" s="377"/>
      <c r="DF76" s="376"/>
      <c r="DG76" s="376"/>
      <c r="DH76" s="377"/>
      <c r="DI76" s="377"/>
      <c r="DJ76" s="376"/>
      <c r="DK76" s="376"/>
      <c r="DL76" s="377"/>
      <c r="DM76" s="377"/>
      <c r="DN76" s="376"/>
      <c r="DO76" s="377"/>
      <c r="DP76" s="376"/>
      <c r="DQ76" s="376"/>
      <c r="DR76" s="376"/>
      <c r="DS76" s="379"/>
      <c r="DT76" s="379"/>
      <c r="DU76" s="373">
        <v>76</v>
      </c>
    </row>
    <row r="77" spans="5:125" x14ac:dyDescent="0.2">
      <c r="E77" s="376"/>
      <c r="F77" s="376"/>
      <c r="G77" s="377"/>
      <c r="H77" s="377"/>
      <c r="I77" s="377"/>
      <c r="J77" s="377"/>
      <c r="K77" s="377"/>
      <c r="L77" s="377"/>
      <c r="M77" s="377"/>
      <c r="N77" s="377"/>
      <c r="O77" s="377"/>
      <c r="P77" s="377"/>
      <c r="Q77" s="377"/>
      <c r="R77" s="377"/>
      <c r="S77" s="377"/>
      <c r="T77" s="377"/>
      <c r="U77" s="376"/>
      <c r="V77" s="378"/>
      <c r="W77" s="378"/>
      <c r="X77" s="376"/>
      <c r="Y77" s="376"/>
      <c r="Z77" s="377"/>
      <c r="AA77" s="377"/>
      <c r="AB77" s="376"/>
      <c r="AC77" s="376"/>
      <c r="AD77" s="377"/>
      <c r="AE77" s="376"/>
      <c r="AF77" s="376"/>
      <c r="AG77" s="376"/>
      <c r="AH77" s="377"/>
      <c r="AI77" s="377"/>
      <c r="AJ77" s="377"/>
      <c r="AK77" s="376"/>
      <c r="AL77" s="376"/>
      <c r="AM77" s="377"/>
      <c r="AN77" s="377"/>
      <c r="AO77" s="377"/>
      <c r="AP77" s="376"/>
      <c r="AQ77" s="376"/>
      <c r="AR77" s="377"/>
      <c r="AS77" s="377"/>
      <c r="AT77" s="377"/>
      <c r="AU77" s="376"/>
      <c r="AV77" s="376"/>
      <c r="AW77" s="377"/>
      <c r="AX77" s="377"/>
      <c r="AY77" s="377"/>
      <c r="AZ77" s="376"/>
      <c r="BA77" s="376"/>
      <c r="BB77" s="377"/>
      <c r="BC77" s="377"/>
      <c r="BD77" s="377"/>
      <c r="BE77" s="376"/>
      <c r="BF77" s="376"/>
      <c r="BG77" s="377"/>
      <c r="BH77" s="377"/>
      <c r="BI77" s="377"/>
      <c r="BJ77" s="376"/>
      <c r="BK77" s="376"/>
      <c r="BL77" s="377"/>
      <c r="BM77" s="377"/>
      <c r="BN77" s="377"/>
      <c r="BO77" s="376"/>
      <c r="BP77" s="376"/>
      <c r="BQ77" s="377"/>
      <c r="BR77" s="377"/>
      <c r="BS77" s="377"/>
      <c r="BT77" s="376"/>
      <c r="BU77" s="376"/>
      <c r="BV77" s="377"/>
      <c r="BW77" s="377"/>
      <c r="BX77" s="377"/>
      <c r="BY77" s="376"/>
      <c r="BZ77" s="376"/>
      <c r="CA77" s="377"/>
      <c r="CB77" s="377"/>
      <c r="CC77" s="377"/>
      <c r="CD77" s="376"/>
      <c r="CE77" s="376"/>
      <c r="CF77" s="377"/>
      <c r="CG77" s="377"/>
      <c r="CH77" s="377"/>
      <c r="CI77" s="376"/>
      <c r="CJ77" s="376"/>
      <c r="CK77" s="377"/>
      <c r="CL77" s="377"/>
      <c r="CM77" s="377"/>
      <c r="CN77" s="376"/>
      <c r="CO77" s="376"/>
      <c r="CP77" s="376"/>
      <c r="CQ77" s="377"/>
      <c r="CR77" s="376"/>
      <c r="CS77" s="376"/>
      <c r="CT77" s="377"/>
      <c r="CU77" s="377"/>
      <c r="CV77" s="377"/>
      <c r="CW77" s="377"/>
      <c r="CX77" s="377"/>
      <c r="CY77" s="377"/>
      <c r="CZ77" s="377"/>
      <c r="DA77" s="377"/>
      <c r="DB77" s="377"/>
      <c r="DC77" s="377"/>
      <c r="DD77" s="377"/>
      <c r="DE77" s="377"/>
      <c r="DF77" s="376"/>
      <c r="DG77" s="376"/>
      <c r="DH77" s="377"/>
      <c r="DI77" s="377"/>
      <c r="DJ77" s="376"/>
      <c r="DK77" s="376"/>
      <c r="DL77" s="377"/>
      <c r="DM77" s="377"/>
      <c r="DN77" s="376"/>
      <c r="DO77" s="377"/>
      <c r="DP77" s="376"/>
      <c r="DQ77" s="376"/>
      <c r="DR77" s="376"/>
      <c r="DS77" s="379"/>
      <c r="DT77" s="379"/>
      <c r="DU77" s="373">
        <v>77</v>
      </c>
    </row>
    <row r="78" spans="5:125" x14ac:dyDescent="0.2">
      <c r="E78" s="376"/>
      <c r="F78" s="376"/>
      <c r="G78" s="377"/>
      <c r="H78" s="377"/>
      <c r="I78" s="377"/>
      <c r="J78" s="377"/>
      <c r="K78" s="377"/>
      <c r="L78" s="377"/>
      <c r="M78" s="377"/>
      <c r="N78" s="377"/>
      <c r="O78" s="377"/>
      <c r="P78" s="377"/>
      <c r="Q78" s="377"/>
      <c r="R78" s="377"/>
      <c r="S78" s="377"/>
      <c r="T78" s="377"/>
      <c r="U78" s="376"/>
      <c r="V78" s="378"/>
      <c r="W78" s="378"/>
      <c r="X78" s="376"/>
      <c r="Y78" s="376"/>
      <c r="Z78" s="377"/>
      <c r="AA78" s="377"/>
      <c r="AB78" s="376"/>
      <c r="AC78" s="376"/>
      <c r="AD78" s="377"/>
      <c r="AE78" s="376"/>
      <c r="AF78" s="376"/>
      <c r="AG78" s="376"/>
      <c r="AH78" s="377"/>
      <c r="AI78" s="377"/>
      <c r="AJ78" s="377"/>
      <c r="AK78" s="376"/>
      <c r="AL78" s="376"/>
      <c r="AM78" s="377"/>
      <c r="AN78" s="377"/>
      <c r="AO78" s="377"/>
      <c r="AP78" s="376"/>
      <c r="AQ78" s="376"/>
      <c r="AR78" s="377"/>
      <c r="AS78" s="377"/>
      <c r="AT78" s="377"/>
      <c r="AU78" s="376"/>
      <c r="AV78" s="376"/>
      <c r="AW78" s="377"/>
      <c r="AX78" s="377"/>
      <c r="AY78" s="377"/>
      <c r="AZ78" s="376"/>
      <c r="BA78" s="376"/>
      <c r="BB78" s="377"/>
      <c r="BC78" s="377"/>
      <c r="BD78" s="377"/>
      <c r="BE78" s="376"/>
      <c r="BF78" s="376"/>
      <c r="BG78" s="377"/>
      <c r="BH78" s="377"/>
      <c r="BI78" s="377"/>
      <c r="BJ78" s="376"/>
      <c r="BK78" s="376"/>
      <c r="BL78" s="377"/>
      <c r="BM78" s="377"/>
      <c r="BN78" s="377"/>
      <c r="BO78" s="376"/>
      <c r="BP78" s="376"/>
      <c r="BQ78" s="377"/>
      <c r="BR78" s="377"/>
      <c r="BS78" s="377"/>
      <c r="BT78" s="376"/>
      <c r="BU78" s="376"/>
      <c r="BV78" s="377"/>
      <c r="BW78" s="377"/>
      <c r="BX78" s="377"/>
      <c r="BY78" s="376"/>
      <c r="BZ78" s="376"/>
      <c r="CA78" s="377"/>
      <c r="CB78" s="377"/>
      <c r="CC78" s="377"/>
      <c r="CD78" s="376"/>
      <c r="CE78" s="376"/>
      <c r="CF78" s="377"/>
      <c r="CG78" s="377"/>
      <c r="CH78" s="377"/>
      <c r="CI78" s="376"/>
      <c r="CJ78" s="376"/>
      <c r="CK78" s="377"/>
      <c r="CL78" s="377"/>
      <c r="CM78" s="377"/>
      <c r="CN78" s="376"/>
      <c r="CO78" s="376"/>
      <c r="CP78" s="376"/>
      <c r="CQ78" s="377"/>
      <c r="CR78" s="376"/>
      <c r="CS78" s="376"/>
      <c r="CT78" s="377"/>
      <c r="CU78" s="377"/>
      <c r="CV78" s="377"/>
      <c r="CW78" s="377"/>
      <c r="CX78" s="377"/>
      <c r="CY78" s="377"/>
      <c r="CZ78" s="377"/>
      <c r="DA78" s="377"/>
      <c r="DB78" s="377"/>
      <c r="DC78" s="377"/>
      <c r="DD78" s="377"/>
      <c r="DE78" s="377"/>
      <c r="DF78" s="376"/>
      <c r="DG78" s="376"/>
      <c r="DH78" s="377"/>
      <c r="DI78" s="377"/>
      <c r="DJ78" s="376"/>
      <c r="DK78" s="376"/>
      <c r="DL78" s="377"/>
      <c r="DM78" s="377"/>
      <c r="DN78" s="376"/>
      <c r="DO78" s="377"/>
      <c r="DP78" s="376"/>
      <c r="DQ78" s="376"/>
      <c r="DR78" s="376"/>
      <c r="DS78" s="379"/>
      <c r="DT78" s="379"/>
      <c r="DU78" s="373">
        <v>78</v>
      </c>
    </row>
    <row r="79" spans="5:125" x14ac:dyDescent="0.2">
      <c r="E79" s="376"/>
      <c r="F79" s="376"/>
      <c r="G79" s="377"/>
      <c r="H79" s="377"/>
      <c r="I79" s="377"/>
      <c r="J79" s="377"/>
      <c r="K79" s="377"/>
      <c r="L79" s="377"/>
      <c r="M79" s="377"/>
      <c r="N79" s="377"/>
      <c r="O79" s="377"/>
      <c r="P79" s="377"/>
      <c r="Q79" s="377"/>
      <c r="R79" s="377"/>
      <c r="S79" s="377"/>
      <c r="T79" s="377"/>
      <c r="U79" s="376"/>
      <c r="V79" s="378"/>
      <c r="W79" s="378"/>
      <c r="X79" s="376"/>
      <c r="Y79" s="376"/>
      <c r="Z79" s="377"/>
      <c r="AA79" s="377"/>
      <c r="AB79" s="376"/>
      <c r="AC79" s="376"/>
      <c r="AD79" s="377"/>
      <c r="AE79" s="376"/>
      <c r="AF79" s="376"/>
      <c r="AG79" s="376"/>
      <c r="AH79" s="377"/>
      <c r="AI79" s="377"/>
      <c r="AJ79" s="377"/>
      <c r="AK79" s="376"/>
      <c r="AL79" s="376"/>
      <c r="AM79" s="377"/>
      <c r="AN79" s="377"/>
      <c r="AO79" s="377"/>
      <c r="AP79" s="376"/>
      <c r="AQ79" s="376"/>
      <c r="AR79" s="377"/>
      <c r="AS79" s="377"/>
      <c r="AT79" s="377"/>
      <c r="AU79" s="376"/>
      <c r="AV79" s="376"/>
      <c r="AW79" s="377"/>
      <c r="AX79" s="377"/>
      <c r="AY79" s="377"/>
      <c r="AZ79" s="376"/>
      <c r="BA79" s="376"/>
      <c r="BB79" s="377"/>
      <c r="BC79" s="377"/>
      <c r="BD79" s="377"/>
      <c r="BE79" s="376"/>
      <c r="BF79" s="376"/>
      <c r="BG79" s="377"/>
      <c r="BH79" s="377"/>
      <c r="BI79" s="377"/>
      <c r="BJ79" s="376"/>
      <c r="BK79" s="376"/>
      <c r="BL79" s="377"/>
      <c r="BM79" s="377"/>
      <c r="BN79" s="377"/>
      <c r="BO79" s="376"/>
      <c r="BP79" s="376"/>
      <c r="BQ79" s="377"/>
      <c r="BR79" s="377"/>
      <c r="BS79" s="377"/>
      <c r="BT79" s="376"/>
      <c r="BU79" s="376"/>
      <c r="BV79" s="377"/>
      <c r="BW79" s="377"/>
      <c r="BX79" s="377"/>
      <c r="BY79" s="376"/>
      <c r="BZ79" s="376"/>
      <c r="CA79" s="377"/>
      <c r="CB79" s="377"/>
      <c r="CC79" s="377"/>
      <c r="CD79" s="376"/>
      <c r="CE79" s="376"/>
      <c r="CF79" s="377"/>
      <c r="CG79" s="377"/>
      <c r="CH79" s="377"/>
      <c r="CI79" s="376"/>
      <c r="CJ79" s="376"/>
      <c r="CK79" s="377"/>
      <c r="CL79" s="377"/>
      <c r="CM79" s="377"/>
      <c r="CN79" s="376"/>
      <c r="CO79" s="376"/>
      <c r="CP79" s="376"/>
      <c r="CQ79" s="377"/>
      <c r="CR79" s="376"/>
      <c r="CS79" s="376"/>
      <c r="CT79" s="377"/>
      <c r="CU79" s="377"/>
      <c r="CV79" s="377"/>
      <c r="CW79" s="377"/>
      <c r="CX79" s="377"/>
      <c r="CY79" s="377"/>
      <c r="CZ79" s="377"/>
      <c r="DA79" s="377"/>
      <c r="DB79" s="377"/>
      <c r="DC79" s="377"/>
      <c r="DD79" s="377"/>
      <c r="DE79" s="377"/>
      <c r="DF79" s="376"/>
      <c r="DG79" s="376"/>
      <c r="DH79" s="377"/>
      <c r="DI79" s="377"/>
      <c r="DJ79" s="376"/>
      <c r="DK79" s="376"/>
      <c r="DL79" s="377"/>
      <c r="DM79" s="377"/>
      <c r="DN79" s="376"/>
      <c r="DO79" s="377"/>
      <c r="DP79" s="376"/>
      <c r="DQ79" s="376"/>
      <c r="DR79" s="376"/>
      <c r="DS79" s="379"/>
      <c r="DT79" s="379"/>
      <c r="DU79" s="373">
        <v>79</v>
      </c>
    </row>
    <row r="80" spans="5:125" x14ac:dyDescent="0.2">
      <c r="E80" s="376"/>
      <c r="F80" s="376"/>
      <c r="G80" s="377"/>
      <c r="H80" s="377"/>
      <c r="I80" s="377"/>
      <c r="J80" s="377"/>
      <c r="K80" s="377"/>
      <c r="L80" s="377"/>
      <c r="M80" s="377"/>
      <c r="N80" s="377"/>
      <c r="O80" s="377"/>
      <c r="P80" s="377"/>
      <c r="Q80" s="377"/>
      <c r="R80" s="377"/>
      <c r="S80" s="377"/>
      <c r="T80" s="377"/>
      <c r="U80" s="376"/>
      <c r="V80" s="378"/>
      <c r="W80" s="378"/>
      <c r="X80" s="376"/>
      <c r="Y80" s="376"/>
      <c r="Z80" s="377"/>
      <c r="AA80" s="377"/>
      <c r="AB80" s="376"/>
      <c r="AC80" s="376"/>
      <c r="AD80" s="377"/>
      <c r="AE80" s="376"/>
      <c r="AF80" s="376"/>
      <c r="AG80" s="376"/>
      <c r="AH80" s="377"/>
      <c r="AI80" s="377"/>
      <c r="AJ80" s="377"/>
      <c r="AK80" s="376"/>
      <c r="AL80" s="376"/>
      <c r="AM80" s="377"/>
      <c r="AN80" s="377"/>
      <c r="AO80" s="377"/>
      <c r="AP80" s="376"/>
      <c r="AQ80" s="376"/>
      <c r="AR80" s="377"/>
      <c r="AS80" s="377"/>
      <c r="AT80" s="377"/>
      <c r="AU80" s="376"/>
      <c r="AV80" s="376"/>
      <c r="AW80" s="377"/>
      <c r="AX80" s="377"/>
      <c r="AY80" s="377"/>
      <c r="AZ80" s="376"/>
      <c r="BA80" s="376"/>
      <c r="BB80" s="377"/>
      <c r="BC80" s="377"/>
      <c r="BD80" s="377"/>
      <c r="BE80" s="376"/>
      <c r="BF80" s="376"/>
      <c r="BG80" s="377"/>
      <c r="BH80" s="377"/>
      <c r="BI80" s="377"/>
      <c r="BJ80" s="376"/>
      <c r="BK80" s="376"/>
      <c r="BL80" s="377"/>
      <c r="BM80" s="377"/>
      <c r="BN80" s="377"/>
      <c r="BO80" s="376"/>
      <c r="BP80" s="376"/>
      <c r="BQ80" s="377"/>
      <c r="BR80" s="377"/>
      <c r="BS80" s="377"/>
      <c r="BT80" s="376"/>
      <c r="BU80" s="376"/>
      <c r="BV80" s="377"/>
      <c r="BW80" s="377"/>
      <c r="BX80" s="377"/>
      <c r="BY80" s="376"/>
      <c r="BZ80" s="376"/>
      <c r="CA80" s="377"/>
      <c r="CB80" s="377"/>
      <c r="CC80" s="377"/>
      <c r="CD80" s="376"/>
      <c r="CE80" s="376"/>
      <c r="CF80" s="377"/>
      <c r="CG80" s="377"/>
      <c r="CH80" s="377"/>
      <c r="CI80" s="376"/>
      <c r="CJ80" s="376"/>
      <c r="CK80" s="377"/>
      <c r="CL80" s="377"/>
      <c r="CM80" s="377"/>
      <c r="CN80" s="376"/>
      <c r="CO80" s="376"/>
      <c r="CP80" s="376"/>
      <c r="CQ80" s="377"/>
      <c r="CR80" s="376"/>
      <c r="CS80" s="376"/>
      <c r="CT80" s="377"/>
      <c r="CU80" s="377"/>
      <c r="CV80" s="377"/>
      <c r="CW80" s="377"/>
      <c r="CX80" s="377"/>
      <c r="CY80" s="377"/>
      <c r="CZ80" s="377"/>
      <c r="DA80" s="377"/>
      <c r="DB80" s="377"/>
      <c r="DC80" s="377"/>
      <c r="DD80" s="377"/>
      <c r="DE80" s="377"/>
      <c r="DF80" s="376"/>
      <c r="DG80" s="376"/>
      <c r="DH80" s="377"/>
      <c r="DI80" s="377"/>
      <c r="DJ80" s="376"/>
      <c r="DK80" s="376"/>
      <c r="DL80" s="377"/>
      <c r="DM80" s="377"/>
      <c r="DN80" s="376"/>
      <c r="DO80" s="377"/>
      <c r="DP80" s="376"/>
      <c r="DQ80" s="376"/>
      <c r="DR80" s="376"/>
      <c r="DS80" s="379"/>
      <c r="DT80" s="379"/>
      <c r="DU80" s="373">
        <v>80</v>
      </c>
    </row>
    <row r="81" spans="5:125" x14ac:dyDescent="0.2">
      <c r="E81" s="376"/>
      <c r="F81" s="376"/>
      <c r="G81" s="377"/>
      <c r="H81" s="377"/>
      <c r="I81" s="377"/>
      <c r="J81" s="377"/>
      <c r="K81" s="377"/>
      <c r="L81" s="377"/>
      <c r="M81" s="377"/>
      <c r="N81" s="377"/>
      <c r="O81" s="377"/>
      <c r="P81" s="377"/>
      <c r="Q81" s="377"/>
      <c r="R81" s="377"/>
      <c r="S81" s="377"/>
      <c r="T81" s="377"/>
      <c r="U81" s="376"/>
      <c r="V81" s="378"/>
      <c r="W81" s="378"/>
      <c r="X81" s="376"/>
      <c r="Y81" s="376"/>
      <c r="Z81" s="377"/>
      <c r="AA81" s="377"/>
      <c r="AB81" s="376"/>
      <c r="AC81" s="376"/>
      <c r="AD81" s="377"/>
      <c r="AE81" s="376"/>
      <c r="AF81" s="376"/>
      <c r="AG81" s="376"/>
      <c r="AH81" s="377"/>
      <c r="AI81" s="377"/>
      <c r="AJ81" s="377"/>
      <c r="AK81" s="376"/>
      <c r="AL81" s="376"/>
      <c r="AM81" s="377"/>
      <c r="AN81" s="377"/>
      <c r="AO81" s="377"/>
      <c r="AP81" s="376"/>
      <c r="AQ81" s="376"/>
      <c r="AR81" s="377"/>
      <c r="AS81" s="377"/>
      <c r="AT81" s="377"/>
      <c r="AU81" s="376"/>
      <c r="AV81" s="376"/>
      <c r="AW81" s="377"/>
      <c r="AX81" s="377"/>
      <c r="AY81" s="377"/>
      <c r="AZ81" s="376"/>
      <c r="BA81" s="376"/>
      <c r="BB81" s="377"/>
      <c r="BC81" s="377"/>
      <c r="BD81" s="377"/>
      <c r="BE81" s="376"/>
      <c r="BF81" s="376"/>
      <c r="BG81" s="377"/>
      <c r="BH81" s="377"/>
      <c r="BI81" s="377"/>
      <c r="BJ81" s="376"/>
      <c r="BK81" s="376"/>
      <c r="BL81" s="377"/>
      <c r="BM81" s="377"/>
      <c r="BN81" s="377"/>
      <c r="BO81" s="376"/>
      <c r="BP81" s="376"/>
      <c r="BQ81" s="377"/>
      <c r="BR81" s="377"/>
      <c r="BS81" s="377"/>
      <c r="BT81" s="376"/>
      <c r="BU81" s="376"/>
      <c r="BV81" s="377"/>
      <c r="BW81" s="377"/>
      <c r="BX81" s="377"/>
      <c r="BY81" s="376"/>
      <c r="BZ81" s="376"/>
      <c r="CA81" s="377"/>
      <c r="CB81" s="377"/>
      <c r="CC81" s="377"/>
      <c r="CD81" s="376"/>
      <c r="CE81" s="376"/>
      <c r="CF81" s="377"/>
      <c r="CG81" s="377"/>
      <c r="CH81" s="377"/>
      <c r="CI81" s="376"/>
      <c r="CJ81" s="376"/>
      <c r="CK81" s="377"/>
      <c r="CL81" s="377"/>
      <c r="CM81" s="377"/>
      <c r="CN81" s="376"/>
      <c r="CO81" s="376"/>
      <c r="CP81" s="376"/>
      <c r="CQ81" s="377"/>
      <c r="CR81" s="376"/>
      <c r="CS81" s="376"/>
      <c r="CT81" s="377"/>
      <c r="CU81" s="377"/>
      <c r="CV81" s="377"/>
      <c r="CW81" s="377"/>
      <c r="CX81" s="377"/>
      <c r="CY81" s="377"/>
      <c r="CZ81" s="377"/>
      <c r="DA81" s="377"/>
      <c r="DB81" s="377"/>
      <c r="DC81" s="377"/>
      <c r="DD81" s="377"/>
      <c r="DE81" s="377"/>
      <c r="DF81" s="376"/>
      <c r="DG81" s="376"/>
      <c r="DH81" s="377"/>
      <c r="DI81" s="377"/>
      <c r="DJ81" s="376"/>
      <c r="DK81" s="376"/>
      <c r="DL81" s="377"/>
      <c r="DM81" s="377"/>
      <c r="DN81" s="376"/>
      <c r="DO81" s="377"/>
      <c r="DP81" s="376"/>
      <c r="DQ81" s="376"/>
      <c r="DR81" s="376"/>
      <c r="DS81" s="379"/>
      <c r="DT81" s="379"/>
      <c r="DU81" s="373">
        <v>81</v>
      </c>
    </row>
    <row r="82" spans="5:125" x14ac:dyDescent="0.2">
      <c r="E82" s="376"/>
      <c r="F82" s="376"/>
      <c r="G82" s="377"/>
      <c r="H82" s="377"/>
      <c r="I82" s="377"/>
      <c r="J82" s="377"/>
      <c r="K82" s="377"/>
      <c r="L82" s="377"/>
      <c r="M82" s="377"/>
      <c r="N82" s="377"/>
      <c r="O82" s="377"/>
      <c r="P82" s="377"/>
      <c r="Q82" s="377"/>
      <c r="R82" s="377"/>
      <c r="S82" s="377"/>
      <c r="T82" s="377"/>
      <c r="U82" s="376"/>
      <c r="V82" s="378"/>
      <c r="W82" s="378"/>
      <c r="X82" s="376"/>
      <c r="Y82" s="376"/>
      <c r="Z82" s="377"/>
      <c r="AA82" s="377"/>
      <c r="AB82" s="376"/>
      <c r="AC82" s="376"/>
      <c r="AD82" s="377"/>
      <c r="AE82" s="376"/>
      <c r="AF82" s="376"/>
      <c r="AG82" s="376"/>
      <c r="AH82" s="377"/>
      <c r="AI82" s="377"/>
      <c r="AJ82" s="377"/>
      <c r="AK82" s="376"/>
      <c r="AL82" s="376"/>
      <c r="AM82" s="377"/>
      <c r="AN82" s="377"/>
      <c r="AO82" s="377"/>
      <c r="AP82" s="376"/>
      <c r="AQ82" s="376"/>
      <c r="AR82" s="377"/>
      <c r="AS82" s="377"/>
      <c r="AT82" s="377"/>
      <c r="AU82" s="376"/>
      <c r="AV82" s="376"/>
      <c r="AW82" s="377"/>
      <c r="AX82" s="377"/>
      <c r="AY82" s="377"/>
      <c r="AZ82" s="376"/>
      <c r="BA82" s="376"/>
      <c r="BB82" s="377"/>
      <c r="BC82" s="377"/>
      <c r="BD82" s="377"/>
      <c r="BE82" s="376"/>
      <c r="BF82" s="376"/>
      <c r="BG82" s="377"/>
      <c r="BH82" s="377"/>
      <c r="BI82" s="377"/>
      <c r="BJ82" s="376"/>
      <c r="BK82" s="376"/>
      <c r="BL82" s="377"/>
      <c r="BM82" s="377"/>
      <c r="BN82" s="377"/>
      <c r="BO82" s="376"/>
      <c r="BP82" s="376"/>
      <c r="BQ82" s="377"/>
      <c r="BR82" s="377"/>
      <c r="BS82" s="377"/>
      <c r="BT82" s="376"/>
      <c r="BU82" s="376"/>
      <c r="BV82" s="377"/>
      <c r="BW82" s="377"/>
      <c r="BX82" s="377"/>
      <c r="BY82" s="376"/>
      <c r="BZ82" s="376"/>
      <c r="CA82" s="377"/>
      <c r="CB82" s="377"/>
      <c r="CC82" s="377"/>
      <c r="CD82" s="376"/>
      <c r="CE82" s="376"/>
      <c r="CF82" s="377"/>
      <c r="CG82" s="377"/>
      <c r="CH82" s="377"/>
      <c r="CI82" s="376"/>
      <c r="CJ82" s="376"/>
      <c r="CK82" s="377"/>
      <c r="CL82" s="377"/>
      <c r="CM82" s="377"/>
      <c r="CN82" s="376"/>
      <c r="CO82" s="376"/>
      <c r="CP82" s="376"/>
      <c r="CQ82" s="377"/>
      <c r="CR82" s="376"/>
      <c r="CS82" s="376"/>
      <c r="CT82" s="377"/>
      <c r="CU82" s="377"/>
      <c r="CV82" s="377"/>
      <c r="CW82" s="377"/>
      <c r="CX82" s="377"/>
      <c r="CY82" s="377"/>
      <c r="CZ82" s="377"/>
      <c r="DA82" s="377"/>
      <c r="DB82" s="377"/>
      <c r="DC82" s="377"/>
      <c r="DD82" s="377"/>
      <c r="DE82" s="377"/>
      <c r="DF82" s="376"/>
      <c r="DG82" s="376"/>
      <c r="DH82" s="377"/>
      <c r="DI82" s="377"/>
      <c r="DJ82" s="376"/>
      <c r="DK82" s="376"/>
      <c r="DL82" s="377"/>
      <c r="DM82" s="377"/>
      <c r="DN82" s="376"/>
      <c r="DO82" s="377"/>
      <c r="DP82" s="376"/>
      <c r="DQ82" s="376"/>
      <c r="DR82" s="376"/>
      <c r="DS82" s="379"/>
      <c r="DT82" s="379"/>
      <c r="DU82" s="373">
        <v>82</v>
      </c>
    </row>
    <row r="83" spans="5:125" x14ac:dyDescent="0.2">
      <c r="E83" s="376"/>
      <c r="F83" s="376"/>
      <c r="G83" s="377"/>
      <c r="H83" s="377"/>
      <c r="I83" s="377"/>
      <c r="J83" s="377"/>
      <c r="K83" s="377"/>
      <c r="L83" s="377"/>
      <c r="M83" s="377"/>
      <c r="N83" s="377"/>
      <c r="O83" s="377"/>
      <c r="P83" s="377"/>
      <c r="Q83" s="377"/>
      <c r="R83" s="377"/>
      <c r="S83" s="377"/>
      <c r="T83" s="377"/>
      <c r="U83" s="376"/>
      <c r="V83" s="378"/>
      <c r="W83" s="378"/>
      <c r="X83" s="376"/>
      <c r="Y83" s="376"/>
      <c r="Z83" s="377"/>
      <c r="AA83" s="377"/>
      <c r="AB83" s="376"/>
      <c r="AC83" s="376"/>
      <c r="AD83" s="377"/>
      <c r="AE83" s="376"/>
      <c r="AF83" s="376"/>
      <c r="AG83" s="376"/>
      <c r="AH83" s="377"/>
      <c r="AI83" s="377"/>
      <c r="AJ83" s="377"/>
      <c r="AK83" s="376"/>
      <c r="AL83" s="376"/>
      <c r="AM83" s="377"/>
      <c r="AN83" s="377"/>
      <c r="AO83" s="377"/>
      <c r="AP83" s="376"/>
      <c r="AQ83" s="376"/>
      <c r="AR83" s="377"/>
      <c r="AS83" s="377"/>
      <c r="AT83" s="377"/>
      <c r="AU83" s="376"/>
      <c r="AV83" s="376"/>
      <c r="AW83" s="377"/>
      <c r="AX83" s="377"/>
      <c r="AY83" s="377"/>
      <c r="AZ83" s="376"/>
      <c r="BA83" s="376"/>
      <c r="BB83" s="377"/>
      <c r="BC83" s="377"/>
      <c r="BD83" s="377"/>
      <c r="BE83" s="376"/>
      <c r="BF83" s="376"/>
      <c r="BG83" s="377"/>
      <c r="BH83" s="377"/>
      <c r="BI83" s="377"/>
      <c r="BJ83" s="376"/>
      <c r="BK83" s="376"/>
      <c r="BL83" s="377"/>
      <c r="BM83" s="377"/>
      <c r="BN83" s="377"/>
      <c r="BO83" s="376"/>
      <c r="BP83" s="376"/>
      <c r="BQ83" s="377"/>
      <c r="BR83" s="377"/>
      <c r="BS83" s="377"/>
      <c r="BT83" s="376"/>
      <c r="BU83" s="376"/>
      <c r="BV83" s="377"/>
      <c r="BW83" s="377"/>
      <c r="BX83" s="377"/>
      <c r="BY83" s="376"/>
      <c r="BZ83" s="376"/>
      <c r="CA83" s="377"/>
      <c r="CB83" s="377"/>
      <c r="CC83" s="377"/>
      <c r="CD83" s="376"/>
      <c r="CE83" s="376"/>
      <c r="CF83" s="377"/>
      <c r="CG83" s="377"/>
      <c r="CH83" s="377"/>
      <c r="CI83" s="376"/>
      <c r="CJ83" s="376"/>
      <c r="CK83" s="377"/>
      <c r="CL83" s="377"/>
      <c r="CM83" s="377"/>
      <c r="CN83" s="376"/>
      <c r="CO83" s="376"/>
      <c r="CP83" s="376"/>
      <c r="CQ83" s="377"/>
      <c r="CR83" s="376"/>
      <c r="CS83" s="376"/>
      <c r="CT83" s="377"/>
      <c r="CU83" s="377"/>
      <c r="CV83" s="377"/>
      <c r="CW83" s="377"/>
      <c r="CX83" s="377"/>
      <c r="CY83" s="377"/>
      <c r="CZ83" s="377"/>
      <c r="DA83" s="377"/>
      <c r="DB83" s="377"/>
      <c r="DC83" s="377"/>
      <c r="DD83" s="377"/>
      <c r="DE83" s="377"/>
      <c r="DF83" s="376"/>
      <c r="DG83" s="376"/>
      <c r="DH83" s="377"/>
      <c r="DI83" s="377"/>
      <c r="DJ83" s="376"/>
      <c r="DK83" s="376"/>
      <c r="DL83" s="377"/>
      <c r="DM83" s="377"/>
      <c r="DN83" s="376"/>
      <c r="DO83" s="377"/>
      <c r="DP83" s="376"/>
      <c r="DQ83" s="376"/>
      <c r="DR83" s="376"/>
      <c r="DS83" s="379"/>
      <c r="DT83" s="379"/>
      <c r="DU83" s="373">
        <v>83</v>
      </c>
    </row>
    <row r="84" spans="5:125" x14ac:dyDescent="0.2">
      <c r="E84" s="376"/>
      <c r="F84" s="376"/>
      <c r="G84" s="377"/>
      <c r="H84" s="377"/>
      <c r="I84" s="377"/>
      <c r="J84" s="377"/>
      <c r="K84" s="377"/>
      <c r="L84" s="377"/>
      <c r="M84" s="377"/>
      <c r="N84" s="377"/>
      <c r="O84" s="377"/>
      <c r="P84" s="377"/>
      <c r="Q84" s="377"/>
      <c r="R84" s="377"/>
      <c r="S84" s="377"/>
      <c r="T84" s="377"/>
      <c r="U84" s="376"/>
      <c r="V84" s="378"/>
      <c r="W84" s="378"/>
      <c r="X84" s="376"/>
      <c r="Y84" s="376"/>
      <c r="Z84" s="377"/>
      <c r="AA84" s="377"/>
      <c r="AB84" s="376"/>
      <c r="AC84" s="376"/>
      <c r="AD84" s="377"/>
      <c r="AE84" s="376"/>
      <c r="AF84" s="376"/>
      <c r="AG84" s="376"/>
      <c r="AH84" s="377"/>
      <c r="AI84" s="377"/>
      <c r="AJ84" s="377"/>
      <c r="AK84" s="376"/>
      <c r="AL84" s="376"/>
      <c r="AM84" s="377"/>
      <c r="AN84" s="377"/>
      <c r="AO84" s="377"/>
      <c r="AP84" s="376"/>
      <c r="AQ84" s="376"/>
      <c r="AR84" s="377"/>
      <c r="AS84" s="377"/>
      <c r="AT84" s="377"/>
      <c r="AU84" s="376"/>
      <c r="AV84" s="376"/>
      <c r="AW84" s="377"/>
      <c r="AX84" s="377"/>
      <c r="AY84" s="377"/>
      <c r="AZ84" s="376"/>
      <c r="BA84" s="376"/>
      <c r="BB84" s="377"/>
      <c r="BC84" s="377"/>
      <c r="BD84" s="377"/>
      <c r="BE84" s="376"/>
      <c r="BF84" s="376"/>
      <c r="BG84" s="377"/>
      <c r="BH84" s="377"/>
      <c r="BI84" s="377"/>
      <c r="BJ84" s="376"/>
      <c r="BK84" s="376"/>
      <c r="BL84" s="377"/>
      <c r="BM84" s="377"/>
      <c r="BN84" s="377"/>
      <c r="BO84" s="376"/>
      <c r="BP84" s="376"/>
      <c r="BQ84" s="377"/>
      <c r="BR84" s="377"/>
      <c r="BS84" s="377"/>
      <c r="BT84" s="376"/>
      <c r="BU84" s="376"/>
      <c r="BV84" s="377"/>
      <c r="BW84" s="377"/>
      <c r="BX84" s="377"/>
      <c r="BY84" s="376"/>
      <c r="BZ84" s="376"/>
      <c r="CA84" s="377"/>
      <c r="CB84" s="377"/>
      <c r="CC84" s="377"/>
      <c r="CD84" s="376"/>
      <c r="CE84" s="376"/>
      <c r="CF84" s="377"/>
      <c r="CG84" s="377"/>
      <c r="CH84" s="377"/>
      <c r="CI84" s="376"/>
      <c r="CJ84" s="376"/>
      <c r="CK84" s="377"/>
      <c r="CL84" s="377"/>
      <c r="CM84" s="377"/>
      <c r="CN84" s="376"/>
      <c r="CO84" s="376"/>
      <c r="CP84" s="376"/>
      <c r="CQ84" s="377"/>
      <c r="CR84" s="376"/>
      <c r="CS84" s="376"/>
      <c r="CT84" s="377"/>
      <c r="CU84" s="377"/>
      <c r="CV84" s="377"/>
      <c r="CW84" s="377"/>
      <c r="CX84" s="377"/>
      <c r="CY84" s="377"/>
      <c r="CZ84" s="377"/>
      <c r="DA84" s="377"/>
      <c r="DB84" s="377"/>
      <c r="DC84" s="377"/>
      <c r="DD84" s="377"/>
      <c r="DE84" s="377"/>
      <c r="DF84" s="376"/>
      <c r="DG84" s="376"/>
      <c r="DH84" s="377"/>
      <c r="DI84" s="377"/>
      <c r="DJ84" s="376"/>
      <c r="DK84" s="376"/>
      <c r="DL84" s="377"/>
      <c r="DM84" s="377"/>
      <c r="DN84" s="376"/>
      <c r="DO84" s="377"/>
      <c r="DP84" s="376"/>
      <c r="DQ84" s="376"/>
      <c r="DR84" s="376"/>
      <c r="DS84" s="379"/>
      <c r="DT84" s="379"/>
      <c r="DU84" s="373">
        <v>84</v>
      </c>
    </row>
    <row r="85" spans="5:125" x14ac:dyDescent="0.2">
      <c r="E85" s="376"/>
      <c r="F85" s="376"/>
      <c r="G85" s="377"/>
      <c r="H85" s="377"/>
      <c r="I85" s="377"/>
      <c r="J85" s="377"/>
      <c r="K85" s="377"/>
      <c r="L85" s="377"/>
      <c r="M85" s="377"/>
      <c r="N85" s="377"/>
      <c r="O85" s="377"/>
      <c r="P85" s="377"/>
      <c r="Q85" s="377"/>
      <c r="R85" s="377"/>
      <c r="S85" s="377"/>
      <c r="T85" s="377"/>
      <c r="U85" s="376"/>
      <c r="V85" s="378"/>
      <c r="W85" s="378"/>
      <c r="X85" s="376"/>
      <c r="Y85" s="376"/>
      <c r="Z85" s="377"/>
      <c r="AA85" s="377"/>
      <c r="AB85" s="376"/>
      <c r="AC85" s="376"/>
      <c r="AD85" s="377"/>
      <c r="AE85" s="376"/>
      <c r="AF85" s="376"/>
      <c r="AG85" s="376"/>
      <c r="AH85" s="377"/>
      <c r="AI85" s="377"/>
      <c r="AJ85" s="377"/>
      <c r="AK85" s="376"/>
      <c r="AL85" s="376"/>
      <c r="AM85" s="377"/>
      <c r="AN85" s="377"/>
      <c r="AO85" s="377"/>
      <c r="AP85" s="376"/>
      <c r="AQ85" s="376"/>
      <c r="AR85" s="377"/>
      <c r="AS85" s="377"/>
      <c r="AT85" s="377"/>
      <c r="AU85" s="376"/>
      <c r="AV85" s="376"/>
      <c r="AW85" s="377"/>
      <c r="AX85" s="377"/>
      <c r="AY85" s="377"/>
      <c r="AZ85" s="376"/>
      <c r="BA85" s="376"/>
      <c r="BB85" s="377"/>
      <c r="BC85" s="377"/>
      <c r="BD85" s="377"/>
      <c r="BE85" s="376"/>
      <c r="BF85" s="376"/>
      <c r="BG85" s="377"/>
      <c r="BH85" s="377"/>
      <c r="BI85" s="377"/>
      <c r="BJ85" s="376"/>
      <c r="BK85" s="376"/>
      <c r="BL85" s="377"/>
      <c r="BM85" s="377"/>
      <c r="BN85" s="377"/>
      <c r="BO85" s="376"/>
      <c r="BP85" s="376"/>
      <c r="BQ85" s="377"/>
      <c r="BR85" s="377"/>
      <c r="BS85" s="377"/>
      <c r="BT85" s="376"/>
      <c r="BU85" s="376"/>
      <c r="BV85" s="377"/>
      <c r="BW85" s="377"/>
      <c r="BX85" s="377"/>
      <c r="BY85" s="376"/>
      <c r="BZ85" s="376"/>
      <c r="CA85" s="377"/>
      <c r="CB85" s="377"/>
      <c r="CC85" s="377"/>
      <c r="CD85" s="376"/>
      <c r="CE85" s="376"/>
      <c r="CF85" s="377"/>
      <c r="CG85" s="377"/>
      <c r="CH85" s="377"/>
      <c r="CI85" s="376"/>
      <c r="CJ85" s="376"/>
      <c r="CK85" s="377"/>
      <c r="CL85" s="377"/>
      <c r="CM85" s="377"/>
      <c r="CN85" s="376"/>
      <c r="CO85" s="376"/>
      <c r="CP85" s="376"/>
      <c r="CQ85" s="377"/>
      <c r="CR85" s="376"/>
      <c r="CS85" s="376"/>
      <c r="CT85" s="377"/>
      <c r="CU85" s="377"/>
      <c r="CV85" s="377"/>
      <c r="CW85" s="377"/>
      <c r="CX85" s="377"/>
      <c r="CY85" s="377"/>
      <c r="CZ85" s="377"/>
      <c r="DA85" s="377"/>
      <c r="DB85" s="377"/>
      <c r="DC85" s="377"/>
      <c r="DD85" s="377"/>
      <c r="DE85" s="377"/>
      <c r="DF85" s="376"/>
      <c r="DG85" s="376"/>
      <c r="DH85" s="377"/>
      <c r="DI85" s="377"/>
      <c r="DJ85" s="376"/>
      <c r="DK85" s="376"/>
      <c r="DL85" s="377"/>
      <c r="DM85" s="377"/>
      <c r="DN85" s="376"/>
      <c r="DO85" s="377"/>
      <c r="DP85" s="376"/>
      <c r="DQ85" s="376"/>
      <c r="DR85" s="376"/>
      <c r="DS85" s="379"/>
      <c r="DT85" s="379"/>
      <c r="DU85" s="373">
        <v>85</v>
      </c>
    </row>
    <row r="86" spans="5:125" x14ac:dyDescent="0.2">
      <c r="E86" s="376"/>
      <c r="F86" s="376"/>
      <c r="G86" s="377"/>
      <c r="H86" s="377"/>
      <c r="I86" s="377"/>
      <c r="J86" s="377"/>
      <c r="K86" s="377"/>
      <c r="L86" s="377"/>
      <c r="M86" s="377"/>
      <c r="N86" s="377"/>
      <c r="O86" s="377"/>
      <c r="P86" s="377"/>
      <c r="Q86" s="377"/>
      <c r="R86" s="377"/>
      <c r="S86" s="377"/>
      <c r="T86" s="377"/>
      <c r="U86" s="376"/>
      <c r="V86" s="378"/>
      <c r="W86" s="378"/>
      <c r="X86" s="376"/>
      <c r="Y86" s="376"/>
      <c r="Z86" s="377"/>
      <c r="AA86" s="377"/>
      <c r="AB86" s="376"/>
      <c r="AC86" s="376"/>
      <c r="AD86" s="377"/>
      <c r="AE86" s="376"/>
      <c r="AF86" s="376"/>
      <c r="AG86" s="376"/>
      <c r="AH86" s="377"/>
      <c r="AI86" s="377"/>
      <c r="AJ86" s="377"/>
      <c r="AK86" s="376"/>
      <c r="AL86" s="376"/>
      <c r="AM86" s="377"/>
      <c r="AN86" s="377"/>
      <c r="AO86" s="377"/>
      <c r="AP86" s="376"/>
      <c r="AQ86" s="376"/>
      <c r="AR86" s="377"/>
      <c r="AS86" s="377"/>
      <c r="AT86" s="377"/>
      <c r="AU86" s="376"/>
      <c r="AV86" s="376"/>
      <c r="AW86" s="377"/>
      <c r="AX86" s="377"/>
      <c r="AY86" s="377"/>
      <c r="AZ86" s="376"/>
      <c r="BA86" s="376"/>
      <c r="BB86" s="377"/>
      <c r="BC86" s="377"/>
      <c r="BD86" s="377"/>
      <c r="BE86" s="376"/>
      <c r="BF86" s="376"/>
      <c r="BG86" s="377"/>
      <c r="BH86" s="377"/>
      <c r="BI86" s="377"/>
      <c r="BJ86" s="376"/>
      <c r="BK86" s="376"/>
      <c r="BL86" s="377"/>
      <c r="BM86" s="377"/>
      <c r="BN86" s="377"/>
      <c r="BO86" s="376"/>
      <c r="BP86" s="376"/>
      <c r="BQ86" s="377"/>
      <c r="BR86" s="377"/>
      <c r="BS86" s="377"/>
      <c r="BT86" s="376"/>
      <c r="BU86" s="376"/>
      <c r="BV86" s="377"/>
      <c r="BW86" s="377"/>
      <c r="BX86" s="377"/>
      <c r="BY86" s="376"/>
      <c r="BZ86" s="376"/>
      <c r="CA86" s="377"/>
      <c r="CB86" s="377"/>
      <c r="CC86" s="377"/>
      <c r="CD86" s="376"/>
      <c r="CE86" s="376"/>
      <c r="CF86" s="377"/>
      <c r="CG86" s="377"/>
      <c r="CH86" s="377"/>
      <c r="CI86" s="376"/>
      <c r="CJ86" s="376"/>
      <c r="CK86" s="377"/>
      <c r="CL86" s="377"/>
      <c r="CM86" s="377"/>
      <c r="CN86" s="376"/>
      <c r="CO86" s="376"/>
      <c r="CP86" s="376"/>
      <c r="CQ86" s="377"/>
      <c r="CR86" s="376"/>
      <c r="CS86" s="376"/>
      <c r="CT86" s="377"/>
      <c r="CU86" s="377"/>
      <c r="CV86" s="377"/>
      <c r="CW86" s="377"/>
      <c r="CX86" s="377"/>
      <c r="CY86" s="377"/>
      <c r="CZ86" s="377"/>
      <c r="DA86" s="377"/>
      <c r="DB86" s="377"/>
      <c r="DC86" s="377"/>
      <c r="DD86" s="377"/>
      <c r="DE86" s="377"/>
      <c r="DF86" s="376"/>
      <c r="DG86" s="376"/>
      <c r="DH86" s="377"/>
      <c r="DI86" s="377"/>
      <c r="DJ86" s="376"/>
      <c r="DK86" s="376"/>
      <c r="DL86" s="377"/>
      <c r="DM86" s="377"/>
      <c r="DN86" s="376"/>
      <c r="DO86" s="377"/>
      <c r="DP86" s="376"/>
      <c r="DQ86" s="376"/>
      <c r="DR86" s="376"/>
      <c r="DS86" s="379"/>
      <c r="DT86" s="379"/>
      <c r="DU86" s="373">
        <v>86</v>
      </c>
    </row>
    <row r="87" spans="5:125" x14ac:dyDescent="0.2">
      <c r="E87" s="376"/>
      <c r="F87" s="376"/>
      <c r="G87" s="377"/>
      <c r="H87" s="377"/>
      <c r="I87" s="377"/>
      <c r="J87" s="377"/>
      <c r="K87" s="377"/>
      <c r="L87" s="377"/>
      <c r="M87" s="377"/>
      <c r="N87" s="377"/>
      <c r="O87" s="377"/>
      <c r="P87" s="377"/>
      <c r="Q87" s="377"/>
      <c r="R87" s="377"/>
      <c r="S87" s="377"/>
      <c r="T87" s="377"/>
      <c r="U87" s="376"/>
      <c r="V87" s="378"/>
      <c r="W87" s="378"/>
      <c r="X87" s="376"/>
      <c r="Y87" s="376"/>
      <c r="Z87" s="377"/>
      <c r="AA87" s="377"/>
      <c r="AB87" s="376"/>
      <c r="AC87" s="376"/>
      <c r="AD87" s="377"/>
      <c r="AE87" s="376"/>
      <c r="AF87" s="376"/>
      <c r="AG87" s="376"/>
      <c r="AH87" s="377"/>
      <c r="AI87" s="377"/>
      <c r="AJ87" s="377"/>
      <c r="AK87" s="376"/>
      <c r="AL87" s="376"/>
      <c r="AM87" s="377"/>
      <c r="AN87" s="377"/>
      <c r="AO87" s="377"/>
      <c r="AP87" s="376"/>
      <c r="AQ87" s="376"/>
      <c r="AR87" s="377"/>
      <c r="AS87" s="377"/>
      <c r="AT87" s="377"/>
      <c r="AU87" s="376"/>
      <c r="AV87" s="376"/>
      <c r="AW87" s="377"/>
      <c r="AX87" s="377"/>
      <c r="AY87" s="377"/>
      <c r="AZ87" s="376"/>
      <c r="BA87" s="376"/>
      <c r="BB87" s="377"/>
      <c r="BC87" s="377"/>
      <c r="BD87" s="377"/>
      <c r="BE87" s="376"/>
      <c r="BF87" s="376"/>
      <c r="BG87" s="377"/>
      <c r="BH87" s="377"/>
      <c r="BI87" s="377"/>
      <c r="BJ87" s="376"/>
      <c r="BK87" s="376"/>
      <c r="BL87" s="377"/>
      <c r="BM87" s="377"/>
      <c r="BN87" s="377"/>
      <c r="BO87" s="376"/>
      <c r="BP87" s="376"/>
      <c r="BQ87" s="377"/>
      <c r="BR87" s="377"/>
      <c r="BS87" s="377"/>
      <c r="BT87" s="376"/>
      <c r="BU87" s="376"/>
      <c r="BV87" s="377"/>
      <c r="BW87" s="377"/>
      <c r="BX87" s="377"/>
      <c r="BY87" s="376"/>
      <c r="BZ87" s="376"/>
      <c r="CA87" s="377"/>
      <c r="CB87" s="377"/>
      <c r="CC87" s="377"/>
      <c r="CD87" s="376"/>
      <c r="CE87" s="376"/>
      <c r="CF87" s="377"/>
      <c r="CG87" s="377"/>
      <c r="CH87" s="377"/>
      <c r="CI87" s="376"/>
      <c r="CJ87" s="376"/>
      <c r="CK87" s="377"/>
      <c r="CL87" s="377"/>
      <c r="CM87" s="377"/>
      <c r="CN87" s="376"/>
      <c r="CO87" s="376"/>
      <c r="CP87" s="376"/>
      <c r="CQ87" s="377"/>
      <c r="CR87" s="376"/>
      <c r="CS87" s="376"/>
      <c r="CT87" s="377"/>
      <c r="CU87" s="377"/>
      <c r="CV87" s="377"/>
      <c r="CW87" s="377"/>
      <c r="CX87" s="377"/>
      <c r="CY87" s="377"/>
      <c r="CZ87" s="377"/>
      <c r="DA87" s="377"/>
      <c r="DB87" s="377"/>
      <c r="DC87" s="377"/>
      <c r="DD87" s="377"/>
      <c r="DE87" s="377"/>
      <c r="DF87" s="376"/>
      <c r="DG87" s="376"/>
      <c r="DH87" s="377"/>
      <c r="DI87" s="377"/>
      <c r="DJ87" s="376"/>
      <c r="DK87" s="376"/>
      <c r="DL87" s="377"/>
      <c r="DM87" s="377"/>
      <c r="DN87" s="376"/>
      <c r="DO87" s="377"/>
      <c r="DP87" s="376"/>
      <c r="DQ87" s="376"/>
      <c r="DR87" s="376"/>
      <c r="DS87" s="379"/>
      <c r="DT87" s="379"/>
      <c r="DU87" s="373">
        <v>87</v>
      </c>
    </row>
    <row r="88" spans="5:125" x14ac:dyDescent="0.2">
      <c r="E88" s="376"/>
      <c r="F88" s="376"/>
      <c r="G88" s="377"/>
      <c r="H88" s="377"/>
      <c r="I88" s="377"/>
      <c r="J88" s="377"/>
      <c r="K88" s="377"/>
      <c r="L88" s="377"/>
      <c r="M88" s="377"/>
      <c r="N88" s="377"/>
      <c r="O88" s="377"/>
      <c r="P88" s="377"/>
      <c r="Q88" s="377"/>
      <c r="R88" s="377"/>
      <c r="S88" s="377"/>
      <c r="T88" s="377"/>
      <c r="U88" s="376"/>
      <c r="V88" s="378"/>
      <c r="W88" s="378"/>
      <c r="X88" s="376"/>
      <c r="Y88" s="376"/>
      <c r="Z88" s="377"/>
      <c r="AA88" s="377"/>
      <c r="AB88" s="376"/>
      <c r="AC88" s="376"/>
      <c r="AD88" s="377"/>
      <c r="AE88" s="376"/>
      <c r="AF88" s="376"/>
      <c r="AG88" s="376"/>
      <c r="AH88" s="377"/>
      <c r="AI88" s="377"/>
      <c r="AJ88" s="377"/>
      <c r="AK88" s="376"/>
      <c r="AL88" s="376"/>
      <c r="AM88" s="377"/>
      <c r="AN88" s="377"/>
      <c r="AO88" s="377"/>
      <c r="AP88" s="376"/>
      <c r="AQ88" s="376"/>
      <c r="AR88" s="377"/>
      <c r="AS88" s="377"/>
      <c r="AT88" s="377"/>
      <c r="AU88" s="376"/>
      <c r="AV88" s="376"/>
      <c r="AW88" s="377"/>
      <c r="AX88" s="377"/>
      <c r="AY88" s="377"/>
      <c r="AZ88" s="376"/>
      <c r="BA88" s="376"/>
      <c r="BB88" s="377"/>
      <c r="BC88" s="377"/>
      <c r="BD88" s="377"/>
      <c r="BE88" s="376"/>
      <c r="BF88" s="376"/>
      <c r="BG88" s="377"/>
      <c r="BH88" s="377"/>
      <c r="BI88" s="377"/>
      <c r="BJ88" s="376"/>
      <c r="BK88" s="376"/>
      <c r="BL88" s="377"/>
      <c r="BM88" s="377"/>
      <c r="BN88" s="377"/>
      <c r="BO88" s="376"/>
      <c r="BP88" s="376"/>
      <c r="BQ88" s="377"/>
      <c r="BR88" s="377"/>
      <c r="BS88" s="377"/>
      <c r="BT88" s="376"/>
      <c r="BU88" s="376"/>
      <c r="BV88" s="377"/>
      <c r="BW88" s="377"/>
      <c r="BX88" s="377"/>
      <c r="BY88" s="376"/>
      <c r="BZ88" s="376"/>
      <c r="CA88" s="377"/>
      <c r="CB88" s="377"/>
      <c r="CC88" s="377"/>
      <c r="CD88" s="376"/>
      <c r="CE88" s="376"/>
      <c r="CF88" s="377"/>
      <c r="CG88" s="377"/>
      <c r="CH88" s="377"/>
      <c r="CI88" s="376"/>
      <c r="CJ88" s="376"/>
      <c r="CK88" s="377"/>
      <c r="CL88" s="377"/>
      <c r="CM88" s="377"/>
      <c r="CN88" s="376"/>
      <c r="CO88" s="376"/>
      <c r="CP88" s="376"/>
      <c r="CQ88" s="377"/>
      <c r="CR88" s="376"/>
      <c r="CS88" s="376"/>
      <c r="CT88" s="377"/>
      <c r="CU88" s="377"/>
      <c r="CV88" s="377"/>
      <c r="CW88" s="377"/>
      <c r="CX88" s="377"/>
      <c r="CY88" s="377"/>
      <c r="CZ88" s="377"/>
      <c r="DA88" s="377"/>
      <c r="DB88" s="377"/>
      <c r="DC88" s="377"/>
      <c r="DD88" s="377"/>
      <c r="DE88" s="377"/>
      <c r="DF88" s="376"/>
      <c r="DG88" s="376"/>
      <c r="DH88" s="377"/>
      <c r="DI88" s="377"/>
      <c r="DJ88" s="376"/>
      <c r="DK88" s="376"/>
      <c r="DL88" s="377"/>
      <c r="DM88" s="377"/>
      <c r="DN88" s="376"/>
      <c r="DO88" s="377"/>
      <c r="DP88" s="376"/>
      <c r="DQ88" s="376"/>
      <c r="DR88" s="376"/>
      <c r="DS88" s="379"/>
      <c r="DT88" s="379"/>
      <c r="DU88" s="373">
        <v>88</v>
      </c>
    </row>
    <row r="89" spans="5:125" x14ac:dyDescent="0.2">
      <c r="E89" s="376"/>
      <c r="F89" s="376"/>
      <c r="G89" s="377"/>
      <c r="H89" s="377"/>
      <c r="I89" s="377"/>
      <c r="J89" s="377"/>
      <c r="K89" s="377"/>
      <c r="L89" s="377"/>
      <c r="M89" s="377"/>
      <c r="N89" s="377"/>
      <c r="O89" s="377"/>
      <c r="P89" s="377"/>
      <c r="Q89" s="377"/>
      <c r="R89" s="377"/>
      <c r="S89" s="377"/>
      <c r="T89" s="377"/>
      <c r="U89" s="376"/>
      <c r="V89" s="378"/>
      <c r="W89" s="378"/>
      <c r="X89" s="376"/>
      <c r="Y89" s="376"/>
      <c r="Z89" s="377"/>
      <c r="AA89" s="377"/>
      <c r="AB89" s="376"/>
      <c r="AC89" s="376"/>
      <c r="AD89" s="377"/>
      <c r="AE89" s="376"/>
      <c r="AF89" s="376"/>
      <c r="AG89" s="376"/>
      <c r="AH89" s="377"/>
      <c r="AI89" s="377"/>
      <c r="AJ89" s="377"/>
      <c r="AK89" s="376"/>
      <c r="AL89" s="376"/>
      <c r="AM89" s="377"/>
      <c r="AN89" s="377"/>
      <c r="AO89" s="377"/>
      <c r="AP89" s="376"/>
      <c r="AQ89" s="376"/>
      <c r="AR89" s="377"/>
      <c r="AS89" s="377"/>
      <c r="AT89" s="377"/>
      <c r="AU89" s="376"/>
      <c r="AV89" s="376"/>
      <c r="AW89" s="377"/>
      <c r="AX89" s="377"/>
      <c r="AY89" s="377"/>
      <c r="AZ89" s="376"/>
      <c r="BA89" s="376"/>
      <c r="BB89" s="377"/>
      <c r="BC89" s="377"/>
      <c r="BD89" s="377"/>
      <c r="BE89" s="376"/>
      <c r="BF89" s="376"/>
      <c r="BG89" s="377"/>
      <c r="BH89" s="377"/>
      <c r="BI89" s="377"/>
      <c r="BJ89" s="376"/>
      <c r="BK89" s="376"/>
      <c r="BL89" s="377"/>
      <c r="BM89" s="377"/>
      <c r="BN89" s="377"/>
      <c r="BO89" s="376"/>
      <c r="BP89" s="376"/>
      <c r="BQ89" s="377"/>
      <c r="BR89" s="377"/>
      <c r="BS89" s="377"/>
      <c r="BT89" s="376"/>
      <c r="BU89" s="376"/>
      <c r="BV89" s="377"/>
      <c r="BW89" s="377"/>
      <c r="BX89" s="377"/>
      <c r="BY89" s="376"/>
      <c r="BZ89" s="376"/>
      <c r="CA89" s="377"/>
      <c r="CB89" s="377"/>
      <c r="CC89" s="377"/>
      <c r="CD89" s="376"/>
      <c r="CE89" s="376"/>
      <c r="CF89" s="377"/>
      <c r="CG89" s="377"/>
      <c r="CH89" s="377"/>
      <c r="CI89" s="376"/>
      <c r="CJ89" s="376"/>
      <c r="CK89" s="377"/>
      <c r="CL89" s="377"/>
      <c r="CM89" s="377"/>
      <c r="CN89" s="376"/>
      <c r="CO89" s="376"/>
      <c r="CP89" s="376"/>
      <c r="CQ89" s="377"/>
      <c r="CR89" s="376"/>
      <c r="CS89" s="376"/>
      <c r="CT89" s="377"/>
      <c r="CU89" s="377"/>
      <c r="CV89" s="377"/>
      <c r="CW89" s="377"/>
      <c r="CX89" s="377"/>
      <c r="CY89" s="377"/>
      <c r="CZ89" s="377"/>
      <c r="DA89" s="377"/>
      <c r="DB89" s="377"/>
      <c r="DC89" s="377"/>
      <c r="DD89" s="377"/>
      <c r="DE89" s="377"/>
      <c r="DF89" s="376"/>
      <c r="DG89" s="376"/>
      <c r="DH89" s="377"/>
      <c r="DI89" s="377"/>
      <c r="DJ89" s="376"/>
      <c r="DK89" s="376"/>
      <c r="DL89" s="377"/>
      <c r="DM89" s="377"/>
      <c r="DN89" s="376"/>
      <c r="DO89" s="377"/>
      <c r="DP89" s="376"/>
      <c r="DQ89" s="376"/>
      <c r="DR89" s="376"/>
      <c r="DS89" s="379"/>
      <c r="DT89" s="379"/>
      <c r="DU89" s="373">
        <v>89</v>
      </c>
    </row>
    <row r="90" spans="5:125" x14ac:dyDescent="0.2">
      <c r="E90" s="376"/>
      <c r="F90" s="376"/>
      <c r="G90" s="377"/>
      <c r="H90" s="377"/>
      <c r="I90" s="377"/>
      <c r="J90" s="377"/>
      <c r="K90" s="377"/>
      <c r="L90" s="377"/>
      <c r="M90" s="377"/>
      <c r="N90" s="377"/>
      <c r="O90" s="377"/>
      <c r="P90" s="377"/>
      <c r="Q90" s="377"/>
      <c r="R90" s="377"/>
      <c r="S90" s="377"/>
      <c r="T90" s="377"/>
      <c r="U90" s="376"/>
      <c r="V90" s="378"/>
      <c r="W90" s="378"/>
      <c r="X90" s="376"/>
      <c r="Y90" s="376"/>
      <c r="Z90" s="377"/>
      <c r="AA90" s="377"/>
      <c r="AB90" s="376"/>
      <c r="AC90" s="376"/>
      <c r="AD90" s="377"/>
      <c r="AE90" s="376"/>
      <c r="AF90" s="376"/>
      <c r="AG90" s="376"/>
      <c r="AH90" s="377"/>
      <c r="AI90" s="377"/>
      <c r="AJ90" s="377"/>
      <c r="AK90" s="376"/>
      <c r="AL90" s="376"/>
      <c r="AM90" s="377"/>
      <c r="AN90" s="377"/>
      <c r="AO90" s="377"/>
      <c r="AP90" s="376"/>
      <c r="AQ90" s="376"/>
      <c r="AR90" s="377"/>
      <c r="AS90" s="377"/>
      <c r="AT90" s="377"/>
      <c r="AU90" s="376"/>
      <c r="AV90" s="376"/>
      <c r="AW90" s="377"/>
      <c r="AX90" s="377"/>
      <c r="AY90" s="377"/>
      <c r="AZ90" s="376"/>
      <c r="BA90" s="376"/>
      <c r="BB90" s="377"/>
      <c r="BC90" s="377"/>
      <c r="BD90" s="377"/>
      <c r="BE90" s="376"/>
      <c r="BF90" s="376"/>
      <c r="BG90" s="377"/>
      <c r="BH90" s="377"/>
      <c r="BI90" s="377"/>
      <c r="BJ90" s="376"/>
      <c r="BK90" s="376"/>
      <c r="BL90" s="377"/>
      <c r="BM90" s="377"/>
      <c r="BN90" s="377"/>
      <c r="BO90" s="376"/>
      <c r="BP90" s="376"/>
      <c r="BQ90" s="377"/>
      <c r="BR90" s="377"/>
      <c r="BS90" s="377"/>
      <c r="BT90" s="376"/>
      <c r="BU90" s="376"/>
      <c r="BV90" s="377"/>
      <c r="BW90" s="377"/>
      <c r="BX90" s="377"/>
      <c r="BY90" s="376"/>
      <c r="BZ90" s="376"/>
      <c r="CA90" s="377"/>
      <c r="CB90" s="377"/>
      <c r="CC90" s="377"/>
      <c r="CD90" s="376"/>
      <c r="CE90" s="376"/>
      <c r="CF90" s="377"/>
      <c r="CG90" s="377"/>
      <c r="CH90" s="377"/>
      <c r="CI90" s="376"/>
      <c r="CJ90" s="376"/>
      <c r="CK90" s="377"/>
      <c r="CL90" s="377"/>
      <c r="CM90" s="377"/>
      <c r="CN90" s="376"/>
      <c r="CO90" s="376"/>
      <c r="CP90" s="376"/>
      <c r="CQ90" s="377"/>
      <c r="CR90" s="376"/>
      <c r="CS90" s="376"/>
      <c r="CT90" s="377"/>
      <c r="CU90" s="377"/>
      <c r="CV90" s="377"/>
      <c r="CW90" s="377"/>
      <c r="CX90" s="377"/>
      <c r="CY90" s="377"/>
      <c r="CZ90" s="377"/>
      <c r="DA90" s="377"/>
      <c r="DB90" s="377"/>
      <c r="DC90" s="377"/>
      <c r="DD90" s="377"/>
      <c r="DE90" s="377"/>
      <c r="DF90" s="376"/>
      <c r="DG90" s="376"/>
      <c r="DH90" s="377"/>
      <c r="DI90" s="377"/>
      <c r="DJ90" s="376"/>
      <c r="DK90" s="376"/>
      <c r="DL90" s="377"/>
      <c r="DM90" s="377"/>
      <c r="DN90" s="376"/>
      <c r="DO90" s="377"/>
      <c r="DP90" s="376"/>
      <c r="DQ90" s="376"/>
      <c r="DR90" s="376"/>
      <c r="DS90" s="379"/>
      <c r="DT90" s="379"/>
      <c r="DU90" s="373">
        <v>90</v>
      </c>
    </row>
    <row r="91" spans="5:125" x14ac:dyDescent="0.2">
      <c r="E91" s="376"/>
      <c r="F91" s="376"/>
      <c r="G91" s="377"/>
      <c r="H91" s="377"/>
      <c r="I91" s="377"/>
      <c r="J91" s="377"/>
      <c r="K91" s="377"/>
      <c r="L91" s="377"/>
      <c r="M91" s="377"/>
      <c r="N91" s="377"/>
      <c r="O91" s="377"/>
      <c r="P91" s="377"/>
      <c r="Q91" s="377"/>
      <c r="R91" s="377"/>
      <c r="S91" s="377"/>
      <c r="T91" s="377"/>
      <c r="U91" s="376"/>
      <c r="V91" s="378"/>
      <c r="W91" s="378"/>
      <c r="X91" s="376"/>
      <c r="Y91" s="376"/>
      <c r="Z91" s="377"/>
      <c r="AA91" s="377"/>
      <c r="AB91" s="376"/>
      <c r="AC91" s="376"/>
      <c r="AD91" s="377"/>
      <c r="AE91" s="376"/>
      <c r="AF91" s="376"/>
      <c r="AG91" s="376"/>
      <c r="AH91" s="377"/>
      <c r="AI91" s="377"/>
      <c r="AJ91" s="377"/>
      <c r="AK91" s="376"/>
      <c r="AL91" s="376"/>
      <c r="AM91" s="377"/>
      <c r="AN91" s="377"/>
      <c r="AO91" s="377"/>
      <c r="AP91" s="376"/>
      <c r="AQ91" s="376"/>
      <c r="AR91" s="377"/>
      <c r="AS91" s="377"/>
      <c r="AT91" s="377"/>
      <c r="AU91" s="376"/>
      <c r="AV91" s="376"/>
      <c r="AW91" s="377"/>
      <c r="AX91" s="377"/>
      <c r="AY91" s="377"/>
      <c r="AZ91" s="376"/>
      <c r="BA91" s="376"/>
      <c r="BB91" s="377"/>
      <c r="BC91" s="377"/>
      <c r="BD91" s="377"/>
      <c r="BE91" s="376"/>
      <c r="BF91" s="376"/>
      <c r="BG91" s="377"/>
      <c r="BH91" s="377"/>
      <c r="BI91" s="377"/>
      <c r="BJ91" s="376"/>
      <c r="BK91" s="376"/>
      <c r="BL91" s="377"/>
      <c r="BM91" s="377"/>
      <c r="BN91" s="377"/>
      <c r="BO91" s="376"/>
      <c r="BP91" s="376"/>
      <c r="BQ91" s="377"/>
      <c r="BR91" s="377"/>
      <c r="BS91" s="377"/>
      <c r="BT91" s="376"/>
      <c r="BU91" s="376"/>
      <c r="BV91" s="377"/>
      <c r="BW91" s="377"/>
      <c r="BX91" s="377"/>
      <c r="BY91" s="376"/>
      <c r="BZ91" s="376"/>
      <c r="CA91" s="377"/>
      <c r="CB91" s="377"/>
      <c r="CC91" s="377"/>
      <c r="CD91" s="376"/>
      <c r="CE91" s="376"/>
      <c r="CF91" s="377"/>
      <c r="CG91" s="377"/>
      <c r="CH91" s="377"/>
      <c r="CI91" s="376"/>
      <c r="CJ91" s="376"/>
      <c r="CK91" s="377"/>
      <c r="CL91" s="377"/>
      <c r="CM91" s="377"/>
      <c r="CN91" s="376"/>
      <c r="CO91" s="376"/>
      <c r="CP91" s="376"/>
      <c r="CQ91" s="377"/>
      <c r="CR91" s="376"/>
      <c r="CS91" s="376"/>
      <c r="CT91" s="377"/>
      <c r="CU91" s="377"/>
      <c r="CV91" s="377"/>
      <c r="CW91" s="377"/>
      <c r="CX91" s="377"/>
      <c r="CY91" s="377"/>
      <c r="CZ91" s="377"/>
      <c r="DA91" s="377"/>
      <c r="DB91" s="377"/>
      <c r="DC91" s="377"/>
      <c r="DD91" s="377"/>
      <c r="DE91" s="377"/>
      <c r="DF91" s="376"/>
      <c r="DG91" s="376"/>
      <c r="DH91" s="377"/>
      <c r="DI91" s="377"/>
      <c r="DJ91" s="376"/>
      <c r="DK91" s="376"/>
      <c r="DL91" s="377"/>
      <c r="DM91" s="377"/>
      <c r="DN91" s="376"/>
      <c r="DO91" s="377"/>
      <c r="DP91" s="376"/>
      <c r="DQ91" s="376"/>
      <c r="DR91" s="376"/>
      <c r="DS91" s="379"/>
      <c r="DT91" s="379"/>
      <c r="DU91" s="373">
        <v>91</v>
      </c>
    </row>
    <row r="92" spans="5:125" x14ac:dyDescent="0.2">
      <c r="E92" s="376"/>
      <c r="F92" s="376"/>
      <c r="G92" s="377"/>
      <c r="H92" s="377"/>
      <c r="I92" s="377"/>
      <c r="J92" s="377"/>
      <c r="K92" s="377"/>
      <c r="L92" s="377"/>
      <c r="M92" s="377"/>
      <c r="N92" s="377"/>
      <c r="O92" s="377"/>
      <c r="P92" s="377"/>
      <c r="Q92" s="377"/>
      <c r="R92" s="377"/>
      <c r="S92" s="377"/>
      <c r="T92" s="377"/>
      <c r="U92" s="376"/>
      <c r="V92" s="378"/>
      <c r="W92" s="378"/>
      <c r="X92" s="376"/>
      <c r="Y92" s="376"/>
      <c r="Z92" s="377"/>
      <c r="AA92" s="377"/>
      <c r="AB92" s="376"/>
      <c r="AC92" s="376"/>
      <c r="AD92" s="377"/>
      <c r="AE92" s="376"/>
      <c r="AF92" s="376"/>
      <c r="AG92" s="376"/>
      <c r="AH92" s="377"/>
      <c r="AI92" s="377"/>
      <c r="AJ92" s="377"/>
      <c r="AK92" s="376"/>
      <c r="AL92" s="376"/>
      <c r="AM92" s="377"/>
      <c r="AN92" s="377"/>
      <c r="AO92" s="377"/>
      <c r="AP92" s="376"/>
      <c r="AQ92" s="376"/>
      <c r="AR92" s="377"/>
      <c r="AS92" s="377"/>
      <c r="AT92" s="377"/>
      <c r="AU92" s="376"/>
      <c r="AV92" s="376"/>
      <c r="AW92" s="377"/>
      <c r="AX92" s="377"/>
      <c r="AY92" s="377"/>
      <c r="AZ92" s="376"/>
      <c r="BA92" s="376"/>
      <c r="BB92" s="377"/>
      <c r="BC92" s="377"/>
      <c r="BD92" s="377"/>
      <c r="BE92" s="376"/>
      <c r="BF92" s="376"/>
      <c r="BG92" s="377"/>
      <c r="BH92" s="377"/>
      <c r="BI92" s="377"/>
      <c r="BJ92" s="376"/>
      <c r="BK92" s="376"/>
      <c r="BL92" s="377"/>
      <c r="BM92" s="377"/>
      <c r="BN92" s="377"/>
      <c r="BO92" s="376"/>
      <c r="BP92" s="376"/>
      <c r="BQ92" s="377"/>
      <c r="BR92" s="377"/>
      <c r="BS92" s="377"/>
      <c r="BT92" s="376"/>
      <c r="BU92" s="376"/>
      <c r="BV92" s="377"/>
      <c r="BW92" s="377"/>
      <c r="BX92" s="377"/>
      <c r="BY92" s="376"/>
      <c r="BZ92" s="376"/>
      <c r="CA92" s="377"/>
      <c r="CB92" s="377"/>
      <c r="CC92" s="377"/>
      <c r="CD92" s="376"/>
      <c r="CE92" s="376"/>
      <c r="CF92" s="377"/>
      <c r="CG92" s="377"/>
      <c r="CH92" s="377"/>
      <c r="CI92" s="376"/>
      <c r="CJ92" s="376"/>
      <c r="CK92" s="377"/>
      <c r="CL92" s="377"/>
      <c r="CM92" s="377"/>
      <c r="CN92" s="376"/>
      <c r="CO92" s="376"/>
      <c r="CP92" s="376"/>
      <c r="CQ92" s="377"/>
      <c r="CR92" s="376"/>
      <c r="CS92" s="376"/>
      <c r="CT92" s="377"/>
      <c r="CU92" s="377"/>
      <c r="CV92" s="377"/>
      <c r="CW92" s="377"/>
      <c r="CX92" s="377"/>
      <c r="CY92" s="377"/>
      <c r="CZ92" s="377"/>
      <c r="DA92" s="377"/>
      <c r="DB92" s="377"/>
      <c r="DC92" s="377"/>
      <c r="DD92" s="377"/>
      <c r="DE92" s="377"/>
      <c r="DF92" s="376"/>
      <c r="DG92" s="376"/>
      <c r="DH92" s="377"/>
      <c r="DI92" s="377"/>
      <c r="DJ92" s="376"/>
      <c r="DK92" s="376"/>
      <c r="DL92" s="377"/>
      <c r="DM92" s="377"/>
      <c r="DN92" s="376"/>
      <c r="DO92" s="377"/>
      <c r="DP92" s="376"/>
      <c r="DQ92" s="376"/>
      <c r="DR92" s="376"/>
      <c r="DS92" s="379"/>
      <c r="DT92" s="379"/>
      <c r="DU92" s="373">
        <v>92</v>
      </c>
    </row>
    <row r="93" spans="5:125" x14ac:dyDescent="0.2">
      <c r="E93" s="376"/>
      <c r="F93" s="376"/>
      <c r="G93" s="377"/>
      <c r="H93" s="377"/>
      <c r="I93" s="377"/>
      <c r="J93" s="377"/>
      <c r="K93" s="377"/>
      <c r="L93" s="377"/>
      <c r="M93" s="377"/>
      <c r="N93" s="377"/>
      <c r="O93" s="377"/>
      <c r="P93" s="377"/>
      <c r="Q93" s="377"/>
      <c r="R93" s="377"/>
      <c r="S93" s="377"/>
      <c r="T93" s="377"/>
      <c r="U93" s="376"/>
      <c r="V93" s="378"/>
      <c r="W93" s="378"/>
      <c r="X93" s="376"/>
      <c r="Y93" s="376"/>
      <c r="Z93" s="377"/>
      <c r="AA93" s="377"/>
      <c r="AB93" s="376"/>
      <c r="AC93" s="376"/>
      <c r="AD93" s="377"/>
      <c r="AE93" s="376"/>
      <c r="AF93" s="376"/>
      <c r="AG93" s="376"/>
      <c r="AH93" s="377"/>
      <c r="AI93" s="377"/>
      <c r="AJ93" s="377"/>
      <c r="AK93" s="376"/>
      <c r="AL93" s="376"/>
      <c r="AM93" s="377"/>
      <c r="AN93" s="377"/>
      <c r="AO93" s="377"/>
      <c r="AP93" s="376"/>
      <c r="AQ93" s="376"/>
      <c r="AR93" s="377"/>
      <c r="AS93" s="377"/>
      <c r="AT93" s="377"/>
      <c r="AU93" s="376"/>
      <c r="AV93" s="376"/>
      <c r="AW93" s="377"/>
      <c r="AX93" s="377"/>
      <c r="AY93" s="377"/>
      <c r="AZ93" s="376"/>
      <c r="BA93" s="376"/>
      <c r="BB93" s="377"/>
      <c r="BC93" s="377"/>
      <c r="BD93" s="377"/>
      <c r="BE93" s="376"/>
      <c r="BF93" s="376"/>
      <c r="BG93" s="377"/>
      <c r="BH93" s="377"/>
      <c r="BI93" s="377"/>
      <c r="BJ93" s="376"/>
      <c r="BK93" s="376"/>
      <c r="BL93" s="377"/>
      <c r="BM93" s="377"/>
      <c r="BN93" s="377"/>
      <c r="BO93" s="376"/>
      <c r="BP93" s="376"/>
      <c r="BQ93" s="377"/>
      <c r="BR93" s="377"/>
      <c r="BS93" s="377"/>
      <c r="BT93" s="376"/>
      <c r="BU93" s="376"/>
      <c r="BV93" s="377"/>
      <c r="BW93" s="377"/>
      <c r="BX93" s="377"/>
      <c r="BY93" s="376"/>
      <c r="BZ93" s="376"/>
      <c r="CA93" s="377"/>
      <c r="CB93" s="377"/>
      <c r="CC93" s="377"/>
      <c r="CD93" s="376"/>
      <c r="CE93" s="376"/>
      <c r="CF93" s="377"/>
      <c r="CG93" s="377"/>
      <c r="CH93" s="377"/>
      <c r="CI93" s="376"/>
      <c r="CJ93" s="376"/>
      <c r="CK93" s="377"/>
      <c r="CL93" s="377"/>
      <c r="CM93" s="377"/>
      <c r="CN93" s="376"/>
      <c r="CO93" s="376"/>
      <c r="CP93" s="376"/>
      <c r="CQ93" s="377"/>
      <c r="CR93" s="376"/>
      <c r="CS93" s="376"/>
      <c r="CT93" s="377"/>
      <c r="CU93" s="377"/>
      <c r="CV93" s="377"/>
      <c r="CW93" s="377"/>
      <c r="CX93" s="377"/>
      <c r="CY93" s="377"/>
      <c r="CZ93" s="377"/>
      <c r="DA93" s="377"/>
      <c r="DB93" s="377"/>
      <c r="DC93" s="377"/>
      <c r="DD93" s="377"/>
      <c r="DE93" s="377"/>
      <c r="DF93" s="376"/>
      <c r="DG93" s="376"/>
      <c r="DH93" s="377"/>
      <c r="DI93" s="377"/>
      <c r="DJ93" s="376"/>
      <c r="DK93" s="376"/>
      <c r="DL93" s="377"/>
      <c r="DM93" s="377"/>
      <c r="DN93" s="376"/>
      <c r="DO93" s="377"/>
      <c r="DP93" s="376"/>
      <c r="DQ93" s="376"/>
      <c r="DR93" s="376"/>
      <c r="DS93" s="379"/>
      <c r="DT93" s="379"/>
      <c r="DU93" s="373">
        <v>93</v>
      </c>
    </row>
    <row r="94" spans="5:125" x14ac:dyDescent="0.2">
      <c r="E94" s="376"/>
      <c r="F94" s="376"/>
      <c r="G94" s="377"/>
      <c r="H94" s="377"/>
      <c r="I94" s="377"/>
      <c r="J94" s="377"/>
      <c r="K94" s="377"/>
      <c r="L94" s="377"/>
      <c r="M94" s="377"/>
      <c r="N94" s="377"/>
      <c r="O94" s="377"/>
      <c r="P94" s="377"/>
      <c r="Q94" s="377"/>
      <c r="R94" s="377"/>
      <c r="S94" s="377"/>
      <c r="T94" s="377"/>
      <c r="U94" s="376"/>
      <c r="V94" s="378"/>
      <c r="W94" s="378"/>
      <c r="X94" s="376"/>
      <c r="Y94" s="376"/>
      <c r="Z94" s="377"/>
      <c r="AA94" s="377"/>
      <c r="AB94" s="376"/>
      <c r="AC94" s="376"/>
      <c r="AD94" s="377"/>
      <c r="AE94" s="376"/>
      <c r="AF94" s="376"/>
      <c r="AG94" s="376"/>
      <c r="AH94" s="377"/>
      <c r="AI94" s="377"/>
      <c r="AJ94" s="377"/>
      <c r="AK94" s="376"/>
      <c r="AL94" s="376"/>
      <c r="AM94" s="377"/>
      <c r="AN94" s="377"/>
      <c r="AO94" s="377"/>
      <c r="AP94" s="376"/>
      <c r="AQ94" s="376"/>
      <c r="AR94" s="377"/>
      <c r="AS94" s="377"/>
      <c r="AT94" s="377"/>
      <c r="AU94" s="376"/>
      <c r="AV94" s="376"/>
      <c r="AW94" s="377"/>
      <c r="AX94" s="377"/>
      <c r="AY94" s="377"/>
      <c r="AZ94" s="376"/>
      <c r="BA94" s="376"/>
      <c r="BB94" s="377"/>
      <c r="BC94" s="377"/>
      <c r="BD94" s="377"/>
      <c r="BE94" s="376"/>
      <c r="BF94" s="376"/>
      <c r="BG94" s="377"/>
      <c r="BH94" s="377"/>
      <c r="BI94" s="377"/>
      <c r="BJ94" s="376"/>
      <c r="BK94" s="376"/>
      <c r="BL94" s="377"/>
      <c r="BM94" s="377"/>
      <c r="BN94" s="377"/>
      <c r="BO94" s="376"/>
      <c r="BP94" s="376"/>
      <c r="BQ94" s="377"/>
      <c r="BR94" s="377"/>
      <c r="BS94" s="377"/>
      <c r="BT94" s="376"/>
      <c r="BU94" s="376"/>
      <c r="BV94" s="377"/>
      <c r="BW94" s="377"/>
      <c r="BX94" s="377"/>
      <c r="BY94" s="376"/>
      <c r="BZ94" s="376"/>
      <c r="CA94" s="377"/>
      <c r="CB94" s="377"/>
      <c r="CC94" s="377"/>
      <c r="CD94" s="376"/>
      <c r="CE94" s="376"/>
      <c r="CF94" s="377"/>
      <c r="CG94" s="377"/>
      <c r="CH94" s="377"/>
      <c r="CI94" s="376"/>
      <c r="CJ94" s="376"/>
      <c r="CK94" s="377"/>
      <c r="CL94" s="377"/>
      <c r="CM94" s="377"/>
      <c r="CN94" s="376"/>
      <c r="CO94" s="376"/>
      <c r="CP94" s="376"/>
      <c r="CQ94" s="377"/>
      <c r="CR94" s="376"/>
      <c r="CS94" s="376"/>
      <c r="CT94" s="377"/>
      <c r="CU94" s="377"/>
      <c r="CV94" s="377"/>
      <c r="CW94" s="377"/>
      <c r="CX94" s="377"/>
      <c r="CY94" s="377"/>
      <c r="CZ94" s="377"/>
      <c r="DA94" s="377"/>
      <c r="DB94" s="377"/>
      <c r="DC94" s="377"/>
      <c r="DD94" s="377"/>
      <c r="DE94" s="377"/>
      <c r="DF94" s="376"/>
      <c r="DG94" s="376"/>
      <c r="DH94" s="377"/>
      <c r="DI94" s="377"/>
      <c r="DJ94" s="376"/>
      <c r="DK94" s="376"/>
      <c r="DL94" s="377"/>
      <c r="DM94" s="377"/>
      <c r="DN94" s="376"/>
      <c r="DO94" s="377"/>
      <c r="DP94" s="376"/>
      <c r="DQ94" s="376"/>
      <c r="DR94" s="376"/>
      <c r="DS94" s="379"/>
      <c r="DT94" s="379"/>
      <c r="DU94" s="373">
        <v>94</v>
      </c>
    </row>
    <row r="95" spans="5:125" x14ac:dyDescent="0.2">
      <c r="E95" s="376"/>
      <c r="F95" s="376"/>
      <c r="G95" s="377"/>
      <c r="H95" s="377"/>
      <c r="I95" s="377"/>
      <c r="J95" s="377"/>
      <c r="K95" s="377"/>
      <c r="L95" s="377"/>
      <c r="M95" s="377"/>
      <c r="N95" s="377"/>
      <c r="O95" s="377"/>
      <c r="P95" s="377"/>
      <c r="Q95" s="377"/>
      <c r="R95" s="377"/>
      <c r="S95" s="377"/>
      <c r="T95" s="377"/>
      <c r="U95" s="376"/>
      <c r="V95" s="378"/>
      <c r="W95" s="378"/>
      <c r="X95" s="376"/>
      <c r="Y95" s="376"/>
      <c r="Z95" s="377"/>
      <c r="AA95" s="377"/>
      <c r="AB95" s="376"/>
      <c r="AC95" s="376"/>
      <c r="AD95" s="377"/>
      <c r="AE95" s="376"/>
      <c r="AF95" s="376"/>
      <c r="AG95" s="376"/>
      <c r="AH95" s="377"/>
      <c r="AI95" s="377"/>
      <c r="AJ95" s="377"/>
      <c r="AK95" s="376"/>
      <c r="AL95" s="376"/>
      <c r="AM95" s="377"/>
      <c r="AN95" s="377"/>
      <c r="AO95" s="377"/>
      <c r="AP95" s="376"/>
      <c r="AQ95" s="376"/>
      <c r="AR95" s="377"/>
      <c r="AS95" s="377"/>
      <c r="AT95" s="377"/>
      <c r="AU95" s="376"/>
      <c r="AV95" s="376"/>
      <c r="AW95" s="377"/>
      <c r="AX95" s="377"/>
      <c r="AY95" s="377"/>
      <c r="AZ95" s="376"/>
      <c r="BA95" s="376"/>
      <c r="BB95" s="377"/>
      <c r="BC95" s="377"/>
      <c r="BD95" s="377"/>
      <c r="BE95" s="376"/>
      <c r="BF95" s="376"/>
      <c r="BG95" s="377"/>
      <c r="BH95" s="377"/>
      <c r="BI95" s="377"/>
      <c r="BJ95" s="376"/>
      <c r="BK95" s="376"/>
      <c r="BL95" s="377"/>
      <c r="BM95" s="377"/>
      <c r="BN95" s="377"/>
      <c r="BO95" s="376"/>
      <c r="BP95" s="376"/>
      <c r="BQ95" s="377"/>
      <c r="BR95" s="377"/>
      <c r="BS95" s="377"/>
      <c r="BT95" s="376"/>
      <c r="BU95" s="376"/>
      <c r="BV95" s="377"/>
      <c r="BW95" s="377"/>
      <c r="BX95" s="377"/>
      <c r="BY95" s="376"/>
      <c r="BZ95" s="376"/>
      <c r="CA95" s="377"/>
      <c r="CB95" s="377"/>
      <c r="CC95" s="377"/>
      <c r="CD95" s="376"/>
      <c r="CE95" s="376"/>
      <c r="CF95" s="377"/>
      <c r="CG95" s="377"/>
      <c r="CH95" s="377"/>
      <c r="CI95" s="376"/>
      <c r="CJ95" s="376"/>
      <c r="CK95" s="377"/>
      <c r="CL95" s="377"/>
      <c r="CM95" s="377"/>
      <c r="CN95" s="376"/>
      <c r="CO95" s="376"/>
      <c r="CP95" s="376"/>
      <c r="CQ95" s="377"/>
      <c r="CR95" s="376"/>
      <c r="CS95" s="376"/>
      <c r="CT95" s="377"/>
      <c r="CU95" s="377"/>
      <c r="CV95" s="377"/>
      <c r="CW95" s="377"/>
      <c r="CX95" s="377"/>
      <c r="CY95" s="377"/>
      <c r="CZ95" s="377"/>
      <c r="DA95" s="377"/>
      <c r="DB95" s="377"/>
      <c r="DC95" s="377"/>
      <c r="DD95" s="377"/>
      <c r="DE95" s="377"/>
      <c r="DF95" s="376"/>
      <c r="DG95" s="376"/>
      <c r="DH95" s="377"/>
      <c r="DI95" s="377"/>
      <c r="DJ95" s="376"/>
      <c r="DK95" s="376"/>
      <c r="DL95" s="377"/>
      <c r="DM95" s="377"/>
      <c r="DN95" s="376"/>
      <c r="DO95" s="377"/>
      <c r="DP95" s="376"/>
      <c r="DQ95" s="376"/>
      <c r="DR95" s="376"/>
      <c r="DS95" s="379"/>
      <c r="DT95" s="379"/>
      <c r="DU95" s="373">
        <v>95</v>
      </c>
    </row>
    <row r="96" spans="5:125" x14ac:dyDescent="0.2">
      <c r="E96" s="376"/>
      <c r="F96" s="376"/>
      <c r="G96" s="377"/>
      <c r="H96" s="377"/>
      <c r="I96" s="377"/>
      <c r="J96" s="377"/>
      <c r="K96" s="377"/>
      <c r="L96" s="377"/>
      <c r="M96" s="377"/>
      <c r="N96" s="377"/>
      <c r="O96" s="377"/>
      <c r="P96" s="377"/>
      <c r="Q96" s="377"/>
      <c r="R96" s="377"/>
      <c r="S96" s="377"/>
      <c r="T96" s="377"/>
      <c r="U96" s="376"/>
      <c r="V96" s="378"/>
      <c r="W96" s="378"/>
      <c r="X96" s="376"/>
      <c r="Y96" s="376"/>
      <c r="Z96" s="377"/>
      <c r="AA96" s="377"/>
      <c r="AB96" s="376"/>
      <c r="AC96" s="376"/>
      <c r="AD96" s="377"/>
      <c r="AE96" s="376"/>
      <c r="AF96" s="376"/>
      <c r="AG96" s="376"/>
      <c r="AH96" s="377"/>
      <c r="AI96" s="377"/>
      <c r="AJ96" s="377"/>
      <c r="AK96" s="376"/>
      <c r="AL96" s="376"/>
      <c r="AM96" s="377"/>
      <c r="AN96" s="377"/>
      <c r="AO96" s="377"/>
      <c r="AP96" s="376"/>
      <c r="AQ96" s="376"/>
      <c r="AR96" s="377"/>
      <c r="AS96" s="377"/>
      <c r="AT96" s="377"/>
      <c r="AU96" s="376"/>
      <c r="AV96" s="376"/>
      <c r="AW96" s="377"/>
      <c r="AX96" s="377"/>
      <c r="AY96" s="377"/>
      <c r="AZ96" s="376"/>
      <c r="BA96" s="376"/>
      <c r="BB96" s="377"/>
      <c r="BC96" s="377"/>
      <c r="BD96" s="377"/>
      <c r="BE96" s="376"/>
      <c r="BF96" s="376"/>
      <c r="BG96" s="377"/>
      <c r="BH96" s="377"/>
      <c r="BI96" s="377"/>
      <c r="BJ96" s="376"/>
      <c r="BK96" s="376"/>
      <c r="BL96" s="377"/>
      <c r="BM96" s="377"/>
      <c r="BN96" s="377"/>
      <c r="BO96" s="376"/>
      <c r="BP96" s="376"/>
      <c r="BQ96" s="377"/>
      <c r="BR96" s="377"/>
      <c r="BS96" s="377"/>
      <c r="BT96" s="376"/>
      <c r="BU96" s="376"/>
      <c r="BV96" s="377"/>
      <c r="BW96" s="377"/>
      <c r="BX96" s="377"/>
      <c r="BY96" s="376"/>
      <c r="BZ96" s="376"/>
      <c r="CA96" s="377"/>
      <c r="CB96" s="377"/>
      <c r="CC96" s="377"/>
      <c r="CD96" s="376"/>
      <c r="CE96" s="376"/>
      <c r="CF96" s="377"/>
      <c r="CG96" s="377"/>
      <c r="CH96" s="377"/>
      <c r="CI96" s="376"/>
      <c r="CJ96" s="376"/>
      <c r="CK96" s="377"/>
      <c r="CL96" s="377"/>
      <c r="CM96" s="377"/>
      <c r="CN96" s="376"/>
      <c r="CO96" s="376"/>
      <c r="CP96" s="376"/>
      <c r="CQ96" s="377"/>
      <c r="CR96" s="376"/>
      <c r="CS96" s="376"/>
      <c r="CT96" s="377"/>
      <c r="CU96" s="377"/>
      <c r="CV96" s="377"/>
      <c r="CW96" s="377"/>
      <c r="CX96" s="377"/>
      <c r="CY96" s="377"/>
      <c r="CZ96" s="377"/>
      <c r="DA96" s="377"/>
      <c r="DB96" s="377"/>
      <c r="DC96" s="377"/>
      <c r="DD96" s="377"/>
      <c r="DE96" s="377"/>
      <c r="DF96" s="376"/>
      <c r="DG96" s="376"/>
      <c r="DH96" s="377"/>
      <c r="DI96" s="377"/>
      <c r="DJ96" s="376"/>
      <c r="DK96" s="376"/>
      <c r="DL96" s="377"/>
      <c r="DM96" s="377"/>
      <c r="DN96" s="376"/>
      <c r="DO96" s="377"/>
      <c r="DP96" s="376"/>
      <c r="DQ96" s="376"/>
      <c r="DR96" s="376"/>
      <c r="DS96" s="379"/>
      <c r="DT96" s="379"/>
      <c r="DU96" s="373">
        <v>96</v>
      </c>
    </row>
    <row r="97" spans="5:125" x14ac:dyDescent="0.2">
      <c r="E97" s="376"/>
      <c r="F97" s="376"/>
      <c r="G97" s="377"/>
      <c r="H97" s="377"/>
      <c r="I97" s="377"/>
      <c r="J97" s="377"/>
      <c r="K97" s="377"/>
      <c r="L97" s="377"/>
      <c r="M97" s="377"/>
      <c r="N97" s="377"/>
      <c r="O97" s="377"/>
      <c r="P97" s="377"/>
      <c r="Q97" s="377"/>
      <c r="R97" s="377"/>
      <c r="S97" s="377"/>
      <c r="T97" s="377"/>
      <c r="U97" s="376"/>
      <c r="V97" s="378"/>
      <c r="W97" s="378"/>
      <c r="X97" s="376"/>
      <c r="Y97" s="376"/>
      <c r="Z97" s="377"/>
      <c r="AA97" s="377"/>
      <c r="AB97" s="376"/>
      <c r="AC97" s="376"/>
      <c r="AD97" s="377"/>
      <c r="AE97" s="376"/>
      <c r="AF97" s="376"/>
      <c r="AG97" s="376"/>
      <c r="AH97" s="377"/>
      <c r="AI97" s="377"/>
      <c r="AJ97" s="377"/>
      <c r="AK97" s="376"/>
      <c r="AL97" s="376"/>
      <c r="AM97" s="377"/>
      <c r="AN97" s="377"/>
      <c r="AO97" s="377"/>
      <c r="AP97" s="376"/>
      <c r="AQ97" s="376"/>
      <c r="AR97" s="377"/>
      <c r="AS97" s="377"/>
      <c r="AT97" s="377"/>
      <c r="AU97" s="376"/>
      <c r="AV97" s="376"/>
      <c r="AW97" s="377"/>
      <c r="AX97" s="377"/>
      <c r="AY97" s="377"/>
      <c r="AZ97" s="376"/>
      <c r="BA97" s="376"/>
      <c r="BB97" s="377"/>
      <c r="BC97" s="377"/>
      <c r="BD97" s="377"/>
      <c r="BE97" s="376"/>
      <c r="BF97" s="376"/>
      <c r="BG97" s="377"/>
      <c r="BH97" s="377"/>
      <c r="BI97" s="377"/>
      <c r="BJ97" s="376"/>
      <c r="BK97" s="376"/>
      <c r="BL97" s="377"/>
      <c r="BM97" s="377"/>
      <c r="BN97" s="377"/>
      <c r="BO97" s="376"/>
      <c r="BP97" s="376"/>
      <c r="BQ97" s="377"/>
      <c r="BR97" s="377"/>
      <c r="BS97" s="377"/>
      <c r="BT97" s="376"/>
      <c r="BU97" s="376"/>
      <c r="BV97" s="377"/>
      <c r="BW97" s="377"/>
      <c r="BX97" s="377"/>
      <c r="BY97" s="376"/>
      <c r="BZ97" s="376"/>
      <c r="CA97" s="377"/>
      <c r="CB97" s="377"/>
      <c r="CC97" s="377"/>
      <c r="CD97" s="376"/>
      <c r="CE97" s="376"/>
      <c r="CF97" s="377"/>
      <c r="CG97" s="377"/>
      <c r="CH97" s="377"/>
      <c r="CI97" s="376"/>
      <c r="CJ97" s="376"/>
      <c r="CK97" s="377"/>
      <c r="CL97" s="377"/>
      <c r="CM97" s="377"/>
      <c r="CN97" s="376"/>
      <c r="CO97" s="376"/>
      <c r="CP97" s="376"/>
      <c r="CQ97" s="377"/>
      <c r="CR97" s="376"/>
      <c r="CS97" s="376"/>
      <c r="CT97" s="377"/>
      <c r="CU97" s="377"/>
      <c r="CV97" s="377"/>
      <c r="CW97" s="377"/>
      <c r="CX97" s="377"/>
      <c r="CY97" s="377"/>
      <c r="CZ97" s="377"/>
      <c r="DA97" s="377"/>
      <c r="DB97" s="377"/>
      <c r="DC97" s="377"/>
      <c r="DD97" s="377"/>
      <c r="DE97" s="377"/>
      <c r="DF97" s="376"/>
      <c r="DG97" s="376"/>
      <c r="DH97" s="377"/>
      <c r="DI97" s="377"/>
      <c r="DJ97" s="376"/>
      <c r="DK97" s="376"/>
      <c r="DL97" s="377"/>
      <c r="DM97" s="377"/>
      <c r="DN97" s="376"/>
      <c r="DO97" s="377"/>
      <c r="DP97" s="376"/>
      <c r="DQ97" s="376"/>
      <c r="DR97" s="376"/>
      <c r="DS97" s="379"/>
      <c r="DT97" s="379"/>
      <c r="DU97" s="373">
        <v>97</v>
      </c>
    </row>
    <row r="98" spans="5:125" x14ac:dyDescent="0.2">
      <c r="E98" s="376"/>
      <c r="F98" s="376"/>
      <c r="G98" s="377"/>
      <c r="H98" s="377"/>
      <c r="I98" s="377"/>
      <c r="J98" s="377"/>
      <c r="K98" s="377"/>
      <c r="L98" s="377"/>
      <c r="M98" s="377"/>
      <c r="N98" s="377"/>
      <c r="O98" s="377"/>
      <c r="P98" s="377"/>
      <c r="Q98" s="377"/>
      <c r="R98" s="377"/>
      <c r="S98" s="377"/>
      <c r="T98" s="377"/>
      <c r="U98" s="376"/>
      <c r="V98" s="378"/>
      <c r="W98" s="378"/>
      <c r="X98" s="376"/>
      <c r="Y98" s="376"/>
      <c r="Z98" s="377"/>
      <c r="AA98" s="377"/>
      <c r="AB98" s="376"/>
      <c r="AC98" s="376"/>
      <c r="AD98" s="377"/>
      <c r="AE98" s="376"/>
      <c r="AF98" s="376"/>
      <c r="AG98" s="376"/>
      <c r="AH98" s="377"/>
      <c r="AI98" s="377"/>
      <c r="AJ98" s="377"/>
      <c r="AK98" s="376"/>
      <c r="AL98" s="376"/>
      <c r="AM98" s="377"/>
      <c r="AN98" s="377"/>
      <c r="AO98" s="377"/>
      <c r="AP98" s="376"/>
      <c r="AQ98" s="376"/>
      <c r="AR98" s="377"/>
      <c r="AS98" s="377"/>
      <c r="AT98" s="377"/>
      <c r="AU98" s="376"/>
      <c r="AV98" s="376"/>
      <c r="AW98" s="377"/>
      <c r="AX98" s="377"/>
      <c r="AY98" s="377"/>
      <c r="AZ98" s="376"/>
      <c r="BA98" s="376"/>
      <c r="BB98" s="377"/>
      <c r="BC98" s="377"/>
      <c r="BD98" s="377"/>
      <c r="BE98" s="376"/>
      <c r="BF98" s="376"/>
      <c r="BG98" s="377"/>
      <c r="BH98" s="377"/>
      <c r="BI98" s="377"/>
      <c r="BJ98" s="376"/>
      <c r="BK98" s="376"/>
      <c r="BL98" s="377"/>
      <c r="BM98" s="377"/>
      <c r="BN98" s="377"/>
      <c r="BO98" s="376"/>
      <c r="BP98" s="376"/>
      <c r="BQ98" s="377"/>
      <c r="BR98" s="377"/>
      <c r="BS98" s="377"/>
      <c r="BT98" s="376"/>
      <c r="BU98" s="376"/>
      <c r="BV98" s="377"/>
      <c r="BW98" s="377"/>
      <c r="BX98" s="377"/>
      <c r="BY98" s="376"/>
      <c r="BZ98" s="376"/>
      <c r="CA98" s="377"/>
      <c r="CB98" s="377"/>
      <c r="CC98" s="377"/>
      <c r="CD98" s="376"/>
      <c r="CE98" s="376"/>
      <c r="CF98" s="377"/>
      <c r="CG98" s="377"/>
      <c r="CH98" s="377"/>
      <c r="CI98" s="376"/>
      <c r="CJ98" s="376"/>
      <c r="CK98" s="377"/>
      <c r="CL98" s="377"/>
      <c r="CM98" s="377"/>
      <c r="CN98" s="376"/>
      <c r="CO98" s="376"/>
      <c r="CP98" s="376"/>
      <c r="CQ98" s="377"/>
      <c r="CR98" s="376"/>
      <c r="CS98" s="376"/>
      <c r="CT98" s="377"/>
      <c r="CU98" s="377"/>
      <c r="CV98" s="377"/>
      <c r="CW98" s="377"/>
      <c r="CX98" s="377"/>
      <c r="CY98" s="377"/>
      <c r="CZ98" s="377"/>
      <c r="DA98" s="377"/>
      <c r="DB98" s="377"/>
      <c r="DC98" s="377"/>
      <c r="DD98" s="377"/>
      <c r="DE98" s="377"/>
      <c r="DF98" s="376"/>
      <c r="DG98" s="376"/>
      <c r="DH98" s="377"/>
      <c r="DI98" s="377"/>
      <c r="DJ98" s="376"/>
      <c r="DK98" s="376"/>
      <c r="DL98" s="377"/>
      <c r="DM98" s="377"/>
      <c r="DN98" s="376"/>
      <c r="DO98" s="377"/>
      <c r="DP98" s="376"/>
      <c r="DQ98" s="376"/>
      <c r="DR98" s="376"/>
      <c r="DS98" s="379"/>
      <c r="DT98" s="379"/>
      <c r="DU98" s="373">
        <v>98</v>
      </c>
    </row>
    <row r="99" spans="5:125" x14ac:dyDescent="0.2">
      <c r="E99" s="376"/>
      <c r="F99" s="376"/>
      <c r="G99" s="377"/>
      <c r="H99" s="377"/>
      <c r="I99" s="377"/>
      <c r="J99" s="377"/>
      <c r="K99" s="377"/>
      <c r="L99" s="377"/>
      <c r="M99" s="377"/>
      <c r="N99" s="377"/>
      <c r="O99" s="377"/>
      <c r="P99" s="377"/>
      <c r="Q99" s="377"/>
      <c r="R99" s="377"/>
      <c r="S99" s="377"/>
      <c r="T99" s="377"/>
      <c r="U99" s="376"/>
      <c r="V99" s="378"/>
      <c r="W99" s="378"/>
      <c r="X99" s="376"/>
      <c r="Y99" s="376"/>
      <c r="Z99" s="377"/>
      <c r="AA99" s="377"/>
      <c r="AB99" s="376"/>
      <c r="AC99" s="376"/>
      <c r="AD99" s="377"/>
      <c r="AE99" s="376"/>
      <c r="AF99" s="376"/>
      <c r="AG99" s="376"/>
      <c r="AH99" s="377"/>
      <c r="AI99" s="377"/>
      <c r="AJ99" s="377"/>
      <c r="AK99" s="376"/>
      <c r="AL99" s="376"/>
      <c r="AM99" s="377"/>
      <c r="AN99" s="377"/>
      <c r="AO99" s="377"/>
      <c r="AP99" s="376"/>
      <c r="AQ99" s="376"/>
      <c r="AR99" s="377"/>
      <c r="AS99" s="377"/>
      <c r="AT99" s="377"/>
      <c r="AU99" s="376"/>
      <c r="AV99" s="376"/>
      <c r="AW99" s="377"/>
      <c r="AX99" s="377"/>
      <c r="AY99" s="377"/>
      <c r="AZ99" s="376"/>
      <c r="BA99" s="376"/>
      <c r="BB99" s="377"/>
      <c r="BC99" s="377"/>
      <c r="BD99" s="377"/>
      <c r="BE99" s="376"/>
      <c r="BF99" s="376"/>
      <c r="BG99" s="377"/>
      <c r="BH99" s="377"/>
      <c r="BI99" s="377"/>
      <c r="BJ99" s="376"/>
      <c r="BK99" s="376"/>
      <c r="BL99" s="377"/>
      <c r="BM99" s="377"/>
      <c r="BN99" s="377"/>
      <c r="BO99" s="376"/>
      <c r="BP99" s="376"/>
      <c r="BQ99" s="377"/>
      <c r="BR99" s="377"/>
      <c r="BS99" s="377"/>
      <c r="BT99" s="376"/>
      <c r="BU99" s="376"/>
      <c r="BV99" s="377"/>
      <c r="BW99" s="377"/>
      <c r="BX99" s="377"/>
      <c r="BY99" s="376"/>
      <c r="BZ99" s="376"/>
      <c r="CA99" s="377"/>
      <c r="CB99" s="377"/>
      <c r="CC99" s="377"/>
      <c r="CD99" s="376"/>
      <c r="CE99" s="376"/>
      <c r="CF99" s="377"/>
      <c r="CG99" s="377"/>
      <c r="CH99" s="377"/>
      <c r="CI99" s="376"/>
      <c r="CJ99" s="376"/>
      <c r="CK99" s="377"/>
      <c r="CL99" s="377"/>
      <c r="CM99" s="377"/>
      <c r="CN99" s="376"/>
      <c r="CO99" s="376"/>
      <c r="CP99" s="376"/>
      <c r="CQ99" s="377"/>
      <c r="CR99" s="376"/>
      <c r="CS99" s="376"/>
      <c r="CT99" s="377"/>
      <c r="CU99" s="377"/>
      <c r="CV99" s="377"/>
      <c r="CW99" s="377"/>
      <c r="CX99" s="377"/>
      <c r="CY99" s="377"/>
      <c r="CZ99" s="377"/>
      <c r="DA99" s="377"/>
      <c r="DB99" s="377"/>
      <c r="DC99" s="377"/>
      <c r="DD99" s="377"/>
      <c r="DE99" s="377"/>
      <c r="DF99" s="376"/>
      <c r="DG99" s="376"/>
      <c r="DH99" s="377"/>
      <c r="DI99" s="377"/>
      <c r="DJ99" s="376"/>
      <c r="DK99" s="376"/>
      <c r="DL99" s="377"/>
      <c r="DM99" s="377"/>
      <c r="DN99" s="376"/>
      <c r="DO99" s="377"/>
      <c r="DP99" s="376"/>
      <c r="DQ99" s="376"/>
      <c r="DR99" s="376"/>
      <c r="DS99" s="379"/>
      <c r="DT99" s="379"/>
      <c r="DU99" s="373">
        <v>99</v>
      </c>
    </row>
    <row r="100" spans="5:125" x14ac:dyDescent="0.2">
      <c r="E100" s="376"/>
      <c r="F100" s="376"/>
      <c r="G100" s="377"/>
      <c r="H100" s="377"/>
      <c r="I100" s="377"/>
      <c r="J100" s="377"/>
      <c r="K100" s="377"/>
      <c r="L100" s="377"/>
      <c r="M100" s="377"/>
      <c r="N100" s="377"/>
      <c r="O100" s="377"/>
      <c r="P100" s="377"/>
      <c r="Q100" s="377"/>
      <c r="R100" s="377"/>
      <c r="S100" s="377"/>
      <c r="T100" s="377"/>
      <c r="U100" s="376"/>
      <c r="V100" s="378"/>
      <c r="W100" s="378"/>
      <c r="X100" s="376"/>
      <c r="Y100" s="376"/>
      <c r="Z100" s="377"/>
      <c r="AA100" s="377"/>
      <c r="AB100" s="376"/>
      <c r="AC100" s="376"/>
      <c r="AD100" s="377"/>
      <c r="AE100" s="376"/>
      <c r="AF100" s="376"/>
      <c r="AG100" s="376"/>
      <c r="AH100" s="377"/>
      <c r="AI100" s="377"/>
      <c r="AJ100" s="377"/>
      <c r="AK100" s="376"/>
      <c r="AL100" s="376"/>
      <c r="AM100" s="377"/>
      <c r="AN100" s="377"/>
      <c r="AO100" s="377"/>
      <c r="AP100" s="376"/>
      <c r="AQ100" s="376"/>
      <c r="AR100" s="377"/>
      <c r="AS100" s="377"/>
      <c r="AT100" s="377"/>
      <c r="AU100" s="376"/>
      <c r="AV100" s="376"/>
      <c r="AW100" s="377"/>
      <c r="AX100" s="377"/>
      <c r="AY100" s="377"/>
      <c r="AZ100" s="376"/>
      <c r="BA100" s="376"/>
      <c r="BB100" s="377"/>
      <c r="BC100" s="377"/>
      <c r="BD100" s="377"/>
      <c r="BE100" s="376"/>
      <c r="BF100" s="376"/>
      <c r="BG100" s="377"/>
      <c r="BH100" s="377"/>
      <c r="BI100" s="377"/>
      <c r="BJ100" s="376"/>
      <c r="BK100" s="376"/>
      <c r="BL100" s="377"/>
      <c r="BM100" s="377"/>
      <c r="BN100" s="377"/>
      <c r="BO100" s="376"/>
      <c r="BP100" s="376"/>
      <c r="BQ100" s="377"/>
      <c r="BR100" s="377"/>
      <c r="BS100" s="377"/>
      <c r="BT100" s="376"/>
      <c r="BU100" s="376"/>
      <c r="BV100" s="377"/>
      <c r="BW100" s="377"/>
      <c r="BX100" s="377"/>
      <c r="BY100" s="376"/>
      <c r="BZ100" s="376"/>
      <c r="CA100" s="377"/>
      <c r="CB100" s="377"/>
      <c r="CC100" s="377"/>
      <c r="CD100" s="376"/>
      <c r="CE100" s="376"/>
      <c r="CF100" s="377"/>
      <c r="CG100" s="377"/>
      <c r="CH100" s="377"/>
      <c r="CI100" s="376"/>
      <c r="CJ100" s="376"/>
      <c r="CK100" s="377"/>
      <c r="CL100" s="377"/>
      <c r="CM100" s="377"/>
      <c r="CN100" s="376"/>
      <c r="CO100" s="376"/>
      <c r="CP100" s="376"/>
      <c r="CQ100" s="377"/>
      <c r="CR100" s="376"/>
      <c r="CS100" s="376"/>
      <c r="CT100" s="377"/>
      <c r="CU100" s="377"/>
      <c r="CV100" s="377"/>
      <c r="CW100" s="377"/>
      <c r="CX100" s="377"/>
      <c r="CY100" s="377"/>
      <c r="CZ100" s="377"/>
      <c r="DA100" s="377"/>
      <c r="DB100" s="377"/>
      <c r="DC100" s="377"/>
      <c r="DD100" s="377"/>
      <c r="DE100" s="377"/>
      <c r="DF100" s="376"/>
      <c r="DG100" s="376"/>
      <c r="DH100" s="377"/>
      <c r="DI100" s="377"/>
      <c r="DJ100" s="376"/>
      <c r="DK100" s="376"/>
      <c r="DL100" s="377"/>
      <c r="DM100" s="377"/>
      <c r="DN100" s="376"/>
      <c r="DO100" s="377"/>
      <c r="DP100" s="376"/>
      <c r="DQ100" s="376"/>
      <c r="DR100" s="376"/>
      <c r="DS100" s="379"/>
      <c r="DT100" s="379"/>
      <c r="DU100" s="373">
        <v>100</v>
      </c>
    </row>
    <row r="101" spans="5:125" x14ac:dyDescent="0.2">
      <c r="E101" s="376"/>
      <c r="F101" s="376"/>
      <c r="G101" s="377"/>
      <c r="H101" s="377"/>
      <c r="I101" s="377"/>
      <c r="J101" s="377"/>
      <c r="K101" s="377"/>
      <c r="L101" s="377"/>
      <c r="M101" s="377"/>
      <c r="N101" s="377"/>
      <c r="O101" s="377"/>
      <c r="P101" s="377"/>
      <c r="Q101" s="377"/>
      <c r="R101" s="377"/>
      <c r="S101" s="377"/>
      <c r="T101" s="377"/>
      <c r="U101" s="376"/>
      <c r="V101" s="378"/>
      <c r="W101" s="378"/>
      <c r="X101" s="376"/>
      <c r="Y101" s="376"/>
      <c r="Z101" s="377"/>
      <c r="AA101" s="377"/>
      <c r="AB101" s="376"/>
      <c r="AC101" s="376"/>
      <c r="AD101" s="377"/>
      <c r="AE101" s="376"/>
      <c r="AF101" s="376"/>
      <c r="AG101" s="376"/>
      <c r="AH101" s="377"/>
      <c r="AI101" s="377"/>
      <c r="AJ101" s="377"/>
      <c r="AK101" s="376"/>
      <c r="AL101" s="376"/>
      <c r="AM101" s="377"/>
      <c r="AN101" s="377"/>
      <c r="AO101" s="377"/>
      <c r="AP101" s="376"/>
      <c r="AQ101" s="376"/>
      <c r="AR101" s="377"/>
      <c r="AS101" s="377"/>
      <c r="AT101" s="377"/>
      <c r="AU101" s="376"/>
      <c r="AV101" s="376"/>
      <c r="AW101" s="377"/>
      <c r="AX101" s="377"/>
      <c r="AY101" s="377"/>
      <c r="AZ101" s="376"/>
      <c r="BA101" s="376"/>
      <c r="BB101" s="377"/>
      <c r="BC101" s="377"/>
      <c r="BD101" s="377"/>
      <c r="BE101" s="376"/>
      <c r="BF101" s="376"/>
      <c r="BG101" s="377"/>
      <c r="BH101" s="377"/>
      <c r="BI101" s="377"/>
      <c r="BJ101" s="376"/>
      <c r="BK101" s="376"/>
      <c r="BL101" s="377"/>
      <c r="BM101" s="377"/>
      <c r="BN101" s="377"/>
      <c r="BO101" s="376"/>
      <c r="BP101" s="376"/>
      <c r="BQ101" s="377"/>
      <c r="BR101" s="377"/>
      <c r="BS101" s="377"/>
      <c r="BT101" s="376"/>
      <c r="BU101" s="376"/>
      <c r="BV101" s="377"/>
      <c r="BW101" s="377"/>
      <c r="BX101" s="377"/>
      <c r="BY101" s="376"/>
      <c r="BZ101" s="376"/>
      <c r="CA101" s="377"/>
      <c r="CB101" s="377"/>
      <c r="CC101" s="377"/>
      <c r="CD101" s="376"/>
      <c r="CE101" s="376"/>
      <c r="CF101" s="377"/>
      <c r="CG101" s="377"/>
      <c r="CH101" s="377"/>
      <c r="CI101" s="376"/>
      <c r="CJ101" s="376"/>
      <c r="CK101" s="377"/>
      <c r="CL101" s="377"/>
      <c r="CM101" s="377"/>
      <c r="CN101" s="376"/>
      <c r="CO101" s="376"/>
      <c r="CP101" s="376"/>
      <c r="CQ101" s="377"/>
      <c r="CR101" s="376"/>
      <c r="CS101" s="376"/>
      <c r="CT101" s="377"/>
      <c r="CU101" s="377"/>
      <c r="CV101" s="377"/>
      <c r="CW101" s="377"/>
      <c r="CX101" s="377"/>
      <c r="CY101" s="377"/>
      <c r="CZ101" s="377"/>
      <c r="DA101" s="377"/>
      <c r="DB101" s="377"/>
      <c r="DC101" s="377"/>
      <c r="DD101" s="377"/>
      <c r="DE101" s="377"/>
      <c r="DF101" s="376"/>
      <c r="DG101" s="376"/>
      <c r="DH101" s="377"/>
      <c r="DI101" s="377"/>
      <c r="DJ101" s="376"/>
      <c r="DK101" s="376"/>
      <c r="DL101" s="377"/>
      <c r="DM101" s="377"/>
      <c r="DN101" s="376"/>
      <c r="DO101" s="377"/>
      <c r="DP101" s="376"/>
      <c r="DQ101" s="376"/>
      <c r="DR101" s="376"/>
      <c r="DS101" s="379"/>
      <c r="DT101" s="379"/>
      <c r="DU101" s="373">
        <v>101</v>
      </c>
    </row>
    <row r="102" spans="5:125" x14ac:dyDescent="0.2">
      <c r="E102" s="376"/>
      <c r="F102" s="376"/>
      <c r="G102" s="377"/>
      <c r="H102" s="377"/>
      <c r="I102" s="377"/>
      <c r="J102" s="377"/>
      <c r="K102" s="377"/>
      <c r="L102" s="377"/>
      <c r="M102" s="377"/>
      <c r="N102" s="377"/>
      <c r="O102" s="377"/>
      <c r="P102" s="377"/>
      <c r="Q102" s="377"/>
      <c r="R102" s="377"/>
      <c r="S102" s="377"/>
      <c r="T102" s="377"/>
      <c r="U102" s="376"/>
      <c r="V102" s="378"/>
      <c r="W102" s="378"/>
      <c r="X102" s="376"/>
      <c r="Y102" s="376"/>
      <c r="Z102" s="377"/>
      <c r="AA102" s="377"/>
      <c r="AB102" s="376"/>
      <c r="AC102" s="376"/>
      <c r="AD102" s="377"/>
      <c r="AE102" s="376"/>
      <c r="AF102" s="376"/>
      <c r="AG102" s="376"/>
      <c r="AH102" s="377"/>
      <c r="AI102" s="377"/>
      <c r="AJ102" s="377"/>
      <c r="AK102" s="376"/>
      <c r="AL102" s="376"/>
      <c r="AM102" s="377"/>
      <c r="AN102" s="377"/>
      <c r="AO102" s="377"/>
      <c r="AP102" s="376"/>
      <c r="AQ102" s="376"/>
      <c r="AR102" s="377"/>
      <c r="AS102" s="377"/>
      <c r="AT102" s="377"/>
      <c r="AU102" s="376"/>
      <c r="AV102" s="376"/>
      <c r="AW102" s="377"/>
      <c r="AX102" s="377"/>
      <c r="AY102" s="377"/>
      <c r="AZ102" s="376"/>
      <c r="BA102" s="376"/>
      <c r="BB102" s="377"/>
      <c r="BC102" s="377"/>
      <c r="BD102" s="377"/>
      <c r="BE102" s="376"/>
      <c r="BF102" s="376"/>
      <c r="BG102" s="377"/>
      <c r="BH102" s="377"/>
      <c r="BI102" s="377"/>
      <c r="BJ102" s="376"/>
      <c r="BK102" s="376"/>
      <c r="BL102" s="377"/>
      <c r="BM102" s="377"/>
      <c r="BN102" s="377"/>
      <c r="BO102" s="376"/>
      <c r="BP102" s="376"/>
      <c r="BQ102" s="377"/>
      <c r="BR102" s="377"/>
      <c r="BS102" s="377"/>
      <c r="BT102" s="376"/>
      <c r="BU102" s="376"/>
      <c r="BV102" s="377"/>
      <c r="BW102" s="377"/>
      <c r="BX102" s="377"/>
      <c r="BY102" s="376"/>
      <c r="BZ102" s="376"/>
      <c r="CA102" s="377"/>
      <c r="CB102" s="377"/>
      <c r="CC102" s="377"/>
      <c r="CD102" s="376"/>
      <c r="CE102" s="376"/>
      <c r="CF102" s="377"/>
      <c r="CG102" s="377"/>
      <c r="CH102" s="377"/>
      <c r="CI102" s="376"/>
      <c r="CJ102" s="376"/>
      <c r="CK102" s="377"/>
      <c r="CL102" s="377"/>
      <c r="CM102" s="377"/>
      <c r="CN102" s="376"/>
      <c r="CO102" s="376"/>
      <c r="CP102" s="376"/>
      <c r="CQ102" s="377"/>
      <c r="CR102" s="376"/>
      <c r="CS102" s="376"/>
      <c r="CT102" s="377"/>
      <c r="CU102" s="377"/>
      <c r="CV102" s="377"/>
      <c r="CW102" s="377"/>
      <c r="CX102" s="377"/>
      <c r="CY102" s="377"/>
      <c r="CZ102" s="377"/>
      <c r="DA102" s="377"/>
      <c r="DB102" s="377"/>
      <c r="DC102" s="377"/>
      <c r="DD102" s="377"/>
      <c r="DE102" s="377"/>
      <c r="DF102" s="376"/>
      <c r="DG102" s="376"/>
      <c r="DH102" s="377"/>
      <c r="DI102" s="377"/>
      <c r="DJ102" s="376"/>
      <c r="DK102" s="376"/>
      <c r="DL102" s="377"/>
      <c r="DM102" s="377"/>
      <c r="DN102" s="376"/>
      <c r="DO102" s="377"/>
      <c r="DP102" s="376"/>
      <c r="DQ102" s="376"/>
      <c r="DR102" s="376"/>
      <c r="DS102" s="379"/>
      <c r="DT102" s="379"/>
      <c r="DU102" s="373">
        <v>102</v>
      </c>
    </row>
  </sheetData>
  <sheetProtection password="B2EA" sheet="1" objects="1" scenarios="1" formatColumns="0" formatRows="0" selectLockedCells="1"/>
  <dataValidations count="1">
    <dataValidation type="list" allowBlank="1" showInputMessage="1" showErrorMessage="1" prompt="Select the Batch Name from the drop-down box and then press the Reload key." sqref="A2" xr:uid="{00000000-0002-0000-0600-000000000000}">
      <formula1>$E$3:$E$102</formula1>
    </dataValidation>
  </dataValidations>
  <pageMargins left="0.7" right="0.7" top="0.75" bottom="0.75" header="0.3" footer="0.3"/>
  <pageSetup orientation="portrait" horizontalDpi="4294967293"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pageSetUpPr fitToPage="1"/>
  </sheetPr>
  <dimension ref="A1:I37"/>
  <sheetViews>
    <sheetView zoomScaleNormal="100" workbookViewId="0">
      <selection activeCell="F8" sqref="F8"/>
    </sheetView>
  </sheetViews>
  <sheetFormatPr defaultRowHeight="12.75" x14ac:dyDescent="0.2"/>
  <cols>
    <col min="1" max="1" width="34" customWidth="1"/>
    <col min="2" max="4" width="22.7109375" customWidth="1"/>
    <col min="5" max="5" width="12.42578125" customWidth="1"/>
    <col min="6" max="15" width="4.5703125" customWidth="1"/>
  </cols>
  <sheetData>
    <row r="1" spans="1:9" ht="47.65" customHeight="1" x14ac:dyDescent="0.2">
      <c r="A1" s="781" t="s">
        <v>891</v>
      </c>
      <c r="B1" s="781"/>
      <c r="C1" s="781"/>
      <c r="D1" s="781"/>
      <c r="E1" s="781"/>
    </row>
    <row r="2" spans="1:9" ht="15.6" customHeight="1" x14ac:dyDescent="0.2">
      <c r="A2" s="245" t="s">
        <v>992</v>
      </c>
      <c r="B2" s="245" t="s">
        <v>682</v>
      </c>
      <c r="C2" s="245"/>
      <c r="D2" s="245"/>
      <c r="E2" s="245"/>
    </row>
    <row r="3" spans="1:9" ht="15.6" customHeight="1" x14ac:dyDescent="0.2">
      <c r="A3" s="113" t="str">
        <f>'4. Water Adjustment'!$B$2</f>
        <v>Janeipa</v>
      </c>
      <c r="B3" s="113"/>
      <c r="C3" s="113"/>
      <c r="D3" s="114"/>
      <c r="E3" s="114"/>
      <c r="F3" s="111"/>
      <c r="G3" s="111"/>
      <c r="H3" s="111"/>
      <c r="I3" s="111"/>
    </row>
    <row r="4" spans="1:9" x14ac:dyDescent="0.2">
      <c r="A4" s="115"/>
      <c r="B4" s="115"/>
      <c r="C4" s="115"/>
      <c r="D4" s="115"/>
      <c r="E4" s="115"/>
    </row>
    <row r="5" spans="1:9" x14ac:dyDescent="0.2">
      <c r="A5" s="116" t="s">
        <v>585</v>
      </c>
      <c r="B5" s="116" t="s">
        <v>587</v>
      </c>
      <c r="C5" s="116" t="s">
        <v>529</v>
      </c>
      <c r="D5" s="116" t="s">
        <v>586</v>
      </c>
      <c r="E5" s="115"/>
    </row>
    <row r="6" spans="1:9" x14ac:dyDescent="0.2">
      <c r="A6" s="116" t="s">
        <v>361</v>
      </c>
      <c r="B6" s="116"/>
      <c r="C6" s="117">
        <f>'4. Water Adjustment'!C7</f>
        <v>0</v>
      </c>
      <c r="D6" s="117">
        <f>'4. Water Adjustment'!C14</f>
        <v>107.24183486238532</v>
      </c>
      <c r="E6" s="117">
        <f>'4. Water Adjustment'!C15</f>
        <v>82.610318021201394</v>
      </c>
    </row>
    <row r="7" spans="1:9" x14ac:dyDescent="0.2">
      <c r="A7" s="116" t="s">
        <v>362</v>
      </c>
      <c r="B7" s="116"/>
      <c r="C7" s="117">
        <f>'4. Water Adjustment'!D7</f>
        <v>0</v>
      </c>
      <c r="D7" s="117">
        <f>'4. Water Adjustment'!D14</f>
        <v>4.0983073394495415</v>
      </c>
      <c r="E7" s="117">
        <f>'4. Water Adjustment'!D15</f>
        <v>3.157</v>
      </c>
    </row>
    <row r="8" spans="1:9" x14ac:dyDescent="0.2">
      <c r="A8" s="116" t="s">
        <v>363</v>
      </c>
      <c r="B8" s="116"/>
      <c r="C8" s="117">
        <f>'4. Water Adjustment'!E7</f>
        <v>0</v>
      </c>
      <c r="D8" s="117">
        <f>'4. Water Adjustment'!E14</f>
        <v>8</v>
      </c>
      <c r="E8" s="117">
        <f>'4. Water Adjustment'!E15</f>
        <v>6.1625441696113068</v>
      </c>
    </row>
    <row r="9" spans="1:9" x14ac:dyDescent="0.2">
      <c r="A9" s="116" t="s">
        <v>365</v>
      </c>
      <c r="B9" s="116"/>
      <c r="C9" s="117">
        <f>'4. Water Adjustment'!F7</f>
        <v>0</v>
      </c>
      <c r="D9" s="117">
        <f>'4. Water Adjustment'!F14</f>
        <v>77.555394495412841</v>
      </c>
      <c r="E9" s="117">
        <f>'4. Water Adjustment'!F15</f>
        <v>59.742318021201413</v>
      </c>
    </row>
    <row r="10" spans="1:9" x14ac:dyDescent="0.2">
      <c r="A10" s="116" t="s">
        <v>366</v>
      </c>
      <c r="B10" s="116"/>
      <c r="C10" s="117">
        <f>'4. Water Adjustment'!G7</f>
        <v>0</v>
      </c>
      <c r="D10" s="117">
        <f>'4. Water Adjustment'!G14</f>
        <v>147.42907339449542</v>
      </c>
      <c r="E10" s="117">
        <f>'4. Water Adjustment'!G15</f>
        <v>113.56727208480567</v>
      </c>
    </row>
    <row r="11" spans="1:9" x14ac:dyDescent="0.2">
      <c r="A11" s="116" t="s">
        <v>364</v>
      </c>
      <c r="B11" s="116"/>
      <c r="C11" s="117">
        <f>'4. Water Adjustment'!H7</f>
        <v>0</v>
      </c>
      <c r="D11" s="117">
        <f ca="1">'4. Water Adjustment'!H14</f>
        <v>-43.738417305657379</v>
      </c>
      <c r="E11" s="117" t="str">
        <f>'4. Water Adjustment'!H15</f>
        <v>NA</v>
      </c>
    </row>
    <row r="12" spans="1:9" x14ac:dyDescent="0.2">
      <c r="A12" s="116" t="s">
        <v>681</v>
      </c>
      <c r="B12" s="116"/>
      <c r="C12" s="115"/>
      <c r="D12" s="115"/>
      <c r="E12" s="267">
        <f>'4. Water Adjustment'!N15</f>
        <v>0.52605224132344397</v>
      </c>
    </row>
    <row r="13" spans="1:9" x14ac:dyDescent="0.2">
      <c r="A13" s="115"/>
      <c r="B13" s="115"/>
      <c r="C13" s="115"/>
      <c r="D13" s="115"/>
      <c r="E13" s="115"/>
    </row>
    <row r="14" spans="1:9" x14ac:dyDescent="0.2">
      <c r="A14" s="116" t="s">
        <v>368</v>
      </c>
      <c r="B14" s="115"/>
      <c r="C14" s="267">
        <f>'4. Water Adjustment'!N18</f>
        <v>11.25</v>
      </c>
      <c r="D14" s="118" t="str">
        <f>'3. Grain Bill Input'!M35</f>
        <v>Gallons</v>
      </c>
      <c r="E14" s="115"/>
    </row>
    <row r="15" spans="1:9" x14ac:dyDescent="0.2">
      <c r="A15" s="116" t="s">
        <v>372</v>
      </c>
      <c r="B15" s="115"/>
      <c r="C15" s="307">
        <f>'4. Water Adjustment'!J18</f>
        <v>10.9</v>
      </c>
      <c r="D15" s="118" t="str">
        <f>'3. Grain Bill Input'!M35</f>
        <v>Gallons</v>
      </c>
      <c r="E15" s="115"/>
    </row>
    <row r="16" spans="1:9" ht="13.35" customHeight="1" x14ac:dyDescent="0.2">
      <c r="A16" s="116" t="s">
        <v>371</v>
      </c>
      <c r="B16" s="115"/>
      <c r="C16" s="307">
        <f>'5. Adjustment Summary'!$F$15</f>
        <v>10.9</v>
      </c>
      <c r="D16" s="118" t="str">
        <f>'3. Grain Bill Input'!M35</f>
        <v>Gallons</v>
      </c>
      <c r="E16" s="115"/>
    </row>
    <row r="17" spans="1:6" x14ac:dyDescent="0.2">
      <c r="A17" s="116" t="s">
        <v>370</v>
      </c>
      <c r="B17" s="115"/>
      <c r="C17" s="307">
        <f>'4. Water Adjustment'!L18</f>
        <v>3.25</v>
      </c>
      <c r="D17" s="118" t="str">
        <f>'3. Grain Bill Input'!M35</f>
        <v>Gallons</v>
      </c>
      <c r="E17" s="115"/>
    </row>
    <row r="18" spans="1:6" x14ac:dyDescent="0.2">
      <c r="A18" s="116" t="s">
        <v>369</v>
      </c>
      <c r="B18" s="115"/>
      <c r="C18" s="307">
        <f>'5. Adjustment Summary'!$I$15</f>
        <v>3.25</v>
      </c>
      <c r="D18" s="118" t="str">
        <f>'3. Grain Bill Input'!M35</f>
        <v>Gallons</v>
      </c>
      <c r="E18" s="115"/>
    </row>
    <row r="19" spans="1:6" x14ac:dyDescent="0.2">
      <c r="A19" s="116" t="s">
        <v>276</v>
      </c>
      <c r="B19" s="115"/>
      <c r="C19" s="119">
        <f ca="1">'5. Adjustment Summary'!$C$12</f>
        <v>5.4000233247637608</v>
      </c>
      <c r="D19" s="118" t="s">
        <v>110</v>
      </c>
      <c r="E19" s="115"/>
    </row>
    <row r="20" spans="1:6" x14ac:dyDescent="0.2">
      <c r="A20" s="116"/>
      <c r="B20" s="115"/>
      <c r="C20" s="115"/>
      <c r="D20" s="115"/>
      <c r="E20" s="119"/>
    </row>
    <row r="21" spans="1:6" x14ac:dyDescent="0.2">
      <c r="A21" s="116" t="s">
        <v>588</v>
      </c>
      <c r="B21" s="116" t="s">
        <v>529</v>
      </c>
      <c r="C21" s="116" t="s">
        <v>367</v>
      </c>
      <c r="D21" s="246"/>
      <c r="E21" s="115"/>
    </row>
    <row r="22" spans="1:6" x14ac:dyDescent="0.2">
      <c r="A22" s="113" t="s">
        <v>813</v>
      </c>
      <c r="B22" s="115"/>
      <c r="C22" s="120">
        <f>'4. Water Adjustment'!I20</f>
        <v>5.66</v>
      </c>
      <c r="D22" s="120">
        <f>'4. Water Adjustment'!K20</f>
        <v>0</v>
      </c>
      <c r="E22" s="120"/>
      <c r="F22" s="112"/>
    </row>
    <row r="23" spans="1:6" x14ac:dyDescent="0.2">
      <c r="A23" s="113" t="s">
        <v>594</v>
      </c>
      <c r="B23" s="115"/>
      <c r="C23" s="120">
        <f>'4. Water Adjustment'!I21</f>
        <v>8.49</v>
      </c>
      <c r="D23" s="120">
        <f>'4. Water Adjustment'!K21</f>
        <v>0</v>
      </c>
      <c r="E23" s="120"/>
      <c r="F23" s="112"/>
    </row>
    <row r="24" spans="1:6" x14ac:dyDescent="0.2">
      <c r="A24" s="113" t="s">
        <v>592</v>
      </c>
      <c r="B24" s="115"/>
      <c r="C24" s="120">
        <f>'4. Water Adjustment'!I22</f>
        <v>0</v>
      </c>
      <c r="D24" s="120">
        <f>'4. Water Adjustment'!K22</f>
        <v>0</v>
      </c>
      <c r="E24" s="120"/>
      <c r="F24" s="112"/>
    </row>
    <row r="25" spans="1:6" x14ac:dyDescent="0.2">
      <c r="A25" s="113" t="s">
        <v>589</v>
      </c>
      <c r="B25" s="115"/>
      <c r="C25" s="120">
        <f>'4. Water Adjustment'!I23</f>
        <v>1.415</v>
      </c>
      <c r="D25" s="120">
        <f>'4. Water Adjustment'!K23</f>
        <v>0</v>
      </c>
      <c r="E25" s="121"/>
    </row>
    <row r="26" spans="1:6" x14ac:dyDescent="0.2">
      <c r="A26" s="113" t="s">
        <v>593</v>
      </c>
      <c r="B26" s="115"/>
      <c r="C26" s="120">
        <f>'4. Water Adjustment'!I24</f>
        <v>0</v>
      </c>
      <c r="D26" s="120">
        <f>'4. Water Adjustment'!K24</f>
        <v>0</v>
      </c>
      <c r="E26" s="121"/>
    </row>
    <row r="27" spans="1:6" x14ac:dyDescent="0.2">
      <c r="A27" s="113" t="s">
        <v>595</v>
      </c>
      <c r="B27" s="115"/>
      <c r="C27" s="120">
        <f>'4. Water Adjustment'!I25</f>
        <v>0</v>
      </c>
      <c r="D27" s="288" t="str">
        <f>'4. Water Adjustment'!K25</f>
        <v>Not Recommended</v>
      </c>
      <c r="E27" s="121"/>
    </row>
    <row r="28" spans="1:6" x14ac:dyDescent="0.2">
      <c r="A28" s="113" t="s">
        <v>814</v>
      </c>
      <c r="B28" s="115"/>
      <c r="C28" s="120">
        <f>'4. Water Adjustment'!I26</f>
        <v>0</v>
      </c>
      <c r="D28" s="288" t="str">
        <f>'4. Water Adjustment'!K26</f>
        <v>Not Recommended</v>
      </c>
      <c r="E28" s="121"/>
    </row>
    <row r="29" spans="1:6" x14ac:dyDescent="0.2">
      <c r="A29" s="113" t="s">
        <v>815</v>
      </c>
      <c r="B29" s="115"/>
      <c r="C29" s="120">
        <f>'4. Water Adjustment'!I27</f>
        <v>0</v>
      </c>
      <c r="D29" s="288" t="str">
        <f>'4. Water Adjustment'!K27</f>
        <v>Not Recommended</v>
      </c>
      <c r="E29" s="121"/>
    </row>
    <row r="30" spans="1:6" x14ac:dyDescent="0.2">
      <c r="A30" s="113" t="s">
        <v>963</v>
      </c>
      <c r="B30" s="115"/>
      <c r="C30" s="120">
        <f>'4. Water Adjustment'!I28</f>
        <v>0</v>
      </c>
      <c r="D30" s="120">
        <f>'4. Water Adjustment'!K28</f>
        <v>0</v>
      </c>
      <c r="E30" s="121"/>
    </row>
    <row r="31" spans="1:6" x14ac:dyDescent="0.2">
      <c r="A31" s="115"/>
      <c r="B31" s="115"/>
      <c r="C31" s="115"/>
      <c r="D31" s="115"/>
      <c r="E31" s="115"/>
    </row>
    <row r="32" spans="1:6" x14ac:dyDescent="0.2">
      <c r="A32" s="113" t="s">
        <v>590</v>
      </c>
      <c r="B32" s="115"/>
      <c r="C32" s="116"/>
      <c r="D32" s="116"/>
      <c r="E32" s="115"/>
    </row>
    <row r="33" spans="1:6" x14ac:dyDescent="0.2">
      <c r="A33" s="122" t="str">
        <f>'5. Adjustment Summary'!A28</f>
        <v>Phosphoric</v>
      </c>
      <c r="B33" s="120">
        <f>'5. Adjustment Summary'!B28</f>
        <v>85</v>
      </c>
      <c r="C33" s="122" t="str">
        <f>'5. Adjustment Summary'!C28</f>
        <v>%</v>
      </c>
      <c r="D33" s="120">
        <f>'5. Adjustment Summary'!E28</f>
        <v>2.7250000000000001</v>
      </c>
      <c r="E33" s="122" t="str">
        <f>'5. Adjustment Summary'!F28</f>
        <v>(ml)</v>
      </c>
      <c r="F33" s="244"/>
    </row>
    <row r="34" spans="1:6" x14ac:dyDescent="0.2">
      <c r="A34" s="122" t="str">
        <f>'5. Adjustment Summary'!A29</f>
        <v xml:space="preserve"> </v>
      </c>
      <c r="B34" s="120" t="str">
        <f>'5. Adjustment Summary'!B29</f>
        <v xml:space="preserve"> </v>
      </c>
      <c r="C34" s="122" t="str">
        <f>'5. Adjustment Summary'!C29</f>
        <v xml:space="preserve"> </v>
      </c>
      <c r="D34" s="120">
        <f>'5. Adjustment Summary'!E29</f>
        <v>0</v>
      </c>
      <c r="E34" s="122" t="str">
        <f>'5. Adjustment Summary'!F29</f>
        <v>(ml)</v>
      </c>
    </row>
    <row r="35" spans="1:6" x14ac:dyDescent="0.2">
      <c r="A35" s="122" t="s">
        <v>591</v>
      </c>
      <c r="B35" s="120"/>
      <c r="C35" s="122"/>
      <c r="D35" s="308"/>
      <c r="E35" s="115"/>
    </row>
    <row r="36" spans="1:6" x14ac:dyDescent="0.2">
      <c r="A36" s="122" t="str">
        <f>'5. Adjustment Summary'!A30</f>
        <v>Phosphoric</v>
      </c>
      <c r="B36" s="120">
        <f>'5. Adjustment Summary'!B30</f>
        <v>10</v>
      </c>
      <c r="C36" s="122" t="str">
        <f>'5. Adjustment Summary'!C30</f>
        <v>%</v>
      </c>
      <c r="D36" s="120">
        <f>'5. Adjustment Summary'!H30</f>
        <v>1.495969866718776</v>
      </c>
      <c r="E36" s="122" t="str">
        <f>'5. Adjustment Summary'!I30</f>
        <v>(ml)</v>
      </c>
    </row>
    <row r="37" spans="1:6" x14ac:dyDescent="0.2">
      <c r="A37" s="122" t="str">
        <f>'5. Adjustment Summary'!A31</f>
        <v xml:space="preserve"> </v>
      </c>
      <c r="B37" s="120" t="str">
        <f>'5. Adjustment Summary'!B31</f>
        <v xml:space="preserve"> </v>
      </c>
      <c r="C37" s="122" t="str">
        <f>'5. Adjustment Summary'!C31</f>
        <v xml:space="preserve"> </v>
      </c>
      <c r="D37" s="120">
        <f>'5. Adjustment Summary'!H31</f>
        <v>0</v>
      </c>
      <c r="E37" s="122" t="str">
        <f>'5. Adjustment Summary'!I31</f>
        <v>(ml)</v>
      </c>
    </row>
  </sheetData>
  <sheetProtection password="A0CE" sheet="1" objects="1" scenarios="1" formatColumns="0" formatRows="0"/>
  <mergeCells count="1">
    <mergeCell ref="A1:E1"/>
  </mergeCells>
  <pageMargins left="0.7" right="0.7" top="0.75" bottom="0.75" header="0.3" footer="0.3"/>
  <pageSetup scale="80"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theme="3"/>
    <pageSetUpPr fitToPage="1"/>
  </sheetPr>
  <dimension ref="A1:M150"/>
  <sheetViews>
    <sheetView showGridLines="0" zoomScale="85" zoomScaleNormal="85" workbookViewId="0">
      <selection activeCell="A144" sqref="A144:K144"/>
    </sheetView>
  </sheetViews>
  <sheetFormatPr defaultColWidth="8.7109375" defaultRowHeight="12.75" x14ac:dyDescent="0.2"/>
  <cols>
    <col min="1" max="16384" width="8.7109375" style="45"/>
  </cols>
  <sheetData>
    <row r="1" spans="1:13" ht="26.1" customHeight="1" x14ac:dyDescent="0.2">
      <c r="A1" s="794" t="s">
        <v>63</v>
      </c>
      <c r="B1" s="795"/>
      <c r="C1" s="795"/>
      <c r="D1" s="131"/>
      <c r="E1" s="132"/>
      <c r="F1" s="785"/>
      <c r="G1" s="785"/>
      <c r="H1" s="785"/>
      <c r="I1" s="785"/>
      <c r="J1" s="785"/>
      <c r="K1" s="785"/>
      <c r="L1" s="104"/>
      <c r="M1" s="104"/>
    </row>
    <row r="2" spans="1:13" ht="26.1" customHeight="1" x14ac:dyDescent="0.2">
      <c r="A2" s="792" t="s">
        <v>378</v>
      </c>
      <c r="B2" s="792"/>
      <c r="C2" s="792"/>
      <c r="D2" s="793"/>
      <c r="E2" s="793"/>
      <c r="F2" s="126"/>
      <c r="G2" s="126"/>
      <c r="H2" s="126"/>
      <c r="I2" s="126"/>
      <c r="J2" s="126"/>
      <c r="K2" s="126"/>
      <c r="L2" s="104"/>
      <c r="M2" s="104"/>
    </row>
    <row r="3" spans="1:13" ht="33.75" customHeight="1" x14ac:dyDescent="0.25">
      <c r="A3" s="61" t="s">
        <v>235</v>
      </c>
      <c r="B3" s="61"/>
      <c r="C3" s="61"/>
      <c r="D3" s="61"/>
      <c r="E3" s="61"/>
      <c r="F3" s="61"/>
      <c r="G3" s="62"/>
      <c r="H3" s="62"/>
      <c r="I3" s="62"/>
      <c r="J3" s="62"/>
      <c r="K3" s="63" t="s">
        <v>236</v>
      </c>
    </row>
    <row r="4" spans="1:13" ht="88.35" customHeight="1" x14ac:dyDescent="0.2">
      <c r="A4" s="786" t="s">
        <v>264</v>
      </c>
      <c r="B4" s="787"/>
      <c r="C4" s="787"/>
      <c r="D4" s="787"/>
      <c r="E4" s="787"/>
      <c r="F4" s="787"/>
      <c r="G4" s="787"/>
      <c r="H4" s="787"/>
      <c r="I4" s="787"/>
      <c r="J4" s="787"/>
      <c r="K4" s="788"/>
    </row>
    <row r="5" spans="1:13" ht="30" customHeight="1" x14ac:dyDescent="0.2">
      <c r="A5" s="789" t="s">
        <v>237</v>
      </c>
      <c r="B5" s="790"/>
      <c r="C5" s="790"/>
      <c r="D5" s="790"/>
      <c r="E5" s="790"/>
      <c r="F5" s="790"/>
      <c r="G5" s="790"/>
      <c r="H5" s="790"/>
      <c r="I5" s="790"/>
      <c r="J5" s="790"/>
      <c r="K5" s="791"/>
    </row>
    <row r="6" spans="1:13" ht="53.1" customHeight="1" x14ac:dyDescent="0.2">
      <c r="A6" s="782" t="s">
        <v>238</v>
      </c>
      <c r="B6" s="783"/>
      <c r="C6" s="783"/>
      <c r="D6" s="783"/>
      <c r="E6" s="783"/>
      <c r="F6" s="783"/>
      <c r="G6" s="783"/>
      <c r="H6" s="783"/>
      <c r="I6" s="783"/>
      <c r="J6" s="783"/>
      <c r="K6" s="784"/>
    </row>
    <row r="7" spans="1:13" ht="97.9" customHeight="1" x14ac:dyDescent="0.2">
      <c r="A7" s="782" t="s">
        <v>239</v>
      </c>
      <c r="B7" s="783"/>
      <c r="C7" s="783"/>
      <c r="D7" s="783"/>
      <c r="E7" s="783"/>
      <c r="F7" s="783"/>
      <c r="G7" s="783"/>
      <c r="H7" s="783"/>
      <c r="I7" s="783"/>
      <c r="J7" s="783"/>
      <c r="K7" s="784"/>
    </row>
    <row r="8" spans="1:13" ht="67.900000000000006" customHeight="1" x14ac:dyDescent="0.2">
      <c r="A8" s="782" t="s">
        <v>240</v>
      </c>
      <c r="B8" s="783"/>
      <c r="C8" s="783"/>
      <c r="D8" s="783"/>
      <c r="E8" s="783"/>
      <c r="F8" s="783"/>
      <c r="G8" s="783"/>
      <c r="H8" s="783"/>
      <c r="I8" s="783"/>
      <c r="J8" s="783"/>
      <c r="K8" s="784"/>
    </row>
    <row r="9" spans="1:13" ht="62.65" customHeight="1" x14ac:dyDescent="0.2">
      <c r="A9" s="782" t="s">
        <v>241</v>
      </c>
      <c r="B9" s="783"/>
      <c r="C9" s="783"/>
      <c r="D9" s="783"/>
      <c r="E9" s="783"/>
      <c r="F9" s="783"/>
      <c r="G9" s="783"/>
      <c r="H9" s="783"/>
      <c r="I9" s="783"/>
      <c r="J9" s="783"/>
      <c r="K9" s="784"/>
    </row>
    <row r="10" spans="1:13" ht="93.6" customHeight="1" x14ac:dyDescent="0.2">
      <c r="A10" s="782" t="s">
        <v>259</v>
      </c>
      <c r="B10" s="783"/>
      <c r="C10" s="783"/>
      <c r="D10" s="783"/>
      <c r="E10" s="783"/>
      <c r="F10" s="783"/>
      <c r="G10" s="783"/>
      <c r="H10" s="783"/>
      <c r="I10" s="783"/>
      <c r="J10" s="783"/>
      <c r="K10" s="784"/>
    </row>
    <row r="11" spans="1:13" ht="70.900000000000006" customHeight="1" x14ac:dyDescent="0.2">
      <c r="A11" s="782" t="s">
        <v>260</v>
      </c>
      <c r="B11" s="783"/>
      <c r="C11" s="783"/>
      <c r="D11" s="783"/>
      <c r="E11" s="783"/>
      <c r="F11" s="783"/>
      <c r="G11" s="783"/>
      <c r="H11" s="783"/>
      <c r="I11" s="783"/>
      <c r="J11" s="783"/>
      <c r="K11" s="784"/>
    </row>
    <row r="12" spans="1:13" ht="75" customHeight="1" x14ac:dyDescent="0.2">
      <c r="A12" s="796" t="s">
        <v>261</v>
      </c>
      <c r="B12" s="797"/>
      <c r="C12" s="797"/>
      <c r="D12" s="797"/>
      <c r="E12" s="797"/>
      <c r="F12" s="797"/>
      <c r="G12" s="797"/>
      <c r="H12" s="797"/>
      <c r="I12" s="797"/>
      <c r="J12" s="797"/>
      <c r="K12" s="798"/>
    </row>
    <row r="13" spans="1:13" ht="28.35" customHeight="1" x14ac:dyDescent="0.2">
      <c r="A13" s="789" t="s">
        <v>262</v>
      </c>
      <c r="B13" s="790"/>
      <c r="C13" s="790"/>
      <c r="D13" s="790"/>
      <c r="E13" s="790"/>
      <c r="F13" s="790"/>
      <c r="G13" s="790"/>
      <c r="H13" s="790"/>
      <c r="I13" s="790"/>
      <c r="J13" s="790"/>
      <c r="K13" s="791"/>
    </row>
    <row r="14" spans="1:13" ht="68.650000000000006" customHeight="1" x14ac:dyDescent="0.2">
      <c r="A14" s="796" t="s">
        <v>263</v>
      </c>
      <c r="B14" s="797"/>
      <c r="C14" s="797"/>
      <c r="D14" s="797"/>
      <c r="E14" s="797"/>
      <c r="F14" s="797"/>
      <c r="G14" s="797"/>
      <c r="H14" s="797"/>
      <c r="I14" s="797"/>
      <c r="J14" s="797"/>
      <c r="K14" s="798"/>
    </row>
    <row r="15" spans="1:13" ht="19.899999999999999" customHeight="1" x14ac:dyDescent="0.2">
      <c r="A15" s="799" t="s">
        <v>294</v>
      </c>
      <c r="B15" s="800"/>
      <c r="C15" s="800"/>
      <c r="D15" s="800"/>
      <c r="E15" s="800"/>
      <c r="F15" s="800"/>
      <c r="G15" s="800"/>
      <c r="H15" s="800"/>
      <c r="I15" s="800"/>
      <c r="J15" s="800"/>
      <c r="K15" s="801"/>
    </row>
    <row r="16" spans="1:13" ht="85.9" customHeight="1" x14ac:dyDescent="0.2">
      <c r="A16" s="782" t="s">
        <v>306</v>
      </c>
      <c r="B16" s="783"/>
      <c r="C16" s="783"/>
      <c r="D16" s="783"/>
      <c r="E16" s="783"/>
      <c r="F16" s="783"/>
      <c r="G16" s="783"/>
      <c r="H16" s="783"/>
      <c r="I16" s="783"/>
      <c r="J16" s="783"/>
      <c r="K16" s="784"/>
    </row>
    <row r="17" spans="1:11" ht="113.25" customHeight="1" x14ac:dyDescent="0.2">
      <c r="A17" s="782" t="s">
        <v>832</v>
      </c>
      <c r="B17" s="783"/>
      <c r="C17" s="783"/>
      <c r="D17" s="783"/>
      <c r="E17" s="783"/>
      <c r="F17" s="783"/>
      <c r="G17" s="783"/>
      <c r="H17" s="783"/>
      <c r="I17" s="783"/>
      <c r="J17" s="783"/>
      <c r="K17" s="784"/>
    </row>
    <row r="18" spans="1:11" ht="109.5" customHeight="1" x14ac:dyDescent="0.2">
      <c r="A18" s="782" t="s">
        <v>833</v>
      </c>
      <c r="B18" s="783"/>
      <c r="C18" s="783"/>
      <c r="D18" s="783"/>
      <c r="E18" s="783"/>
      <c r="F18" s="783"/>
      <c r="G18" s="783"/>
      <c r="H18" s="783"/>
      <c r="I18" s="783"/>
      <c r="J18" s="783"/>
      <c r="K18" s="784"/>
    </row>
    <row r="19" spans="1:11" ht="139.5" customHeight="1" x14ac:dyDescent="0.2">
      <c r="A19" s="782" t="s">
        <v>834</v>
      </c>
      <c r="B19" s="783"/>
      <c r="C19" s="783"/>
      <c r="D19" s="783"/>
      <c r="E19" s="783"/>
      <c r="F19" s="783"/>
      <c r="G19" s="783"/>
      <c r="H19" s="783"/>
      <c r="I19" s="783"/>
      <c r="J19" s="783"/>
      <c r="K19" s="784"/>
    </row>
    <row r="20" spans="1:11" ht="66.599999999999994" customHeight="1" x14ac:dyDescent="0.2">
      <c r="A20" s="796" t="s">
        <v>835</v>
      </c>
      <c r="B20" s="797"/>
      <c r="C20" s="797"/>
      <c r="D20" s="797"/>
      <c r="E20" s="797"/>
      <c r="F20" s="797"/>
      <c r="G20" s="797"/>
      <c r="H20" s="797"/>
      <c r="I20" s="797"/>
      <c r="J20" s="797"/>
      <c r="K20" s="798"/>
    </row>
    <row r="21" spans="1:11" ht="20.65" customHeight="1" x14ac:dyDescent="0.2">
      <c r="A21" s="799" t="s">
        <v>295</v>
      </c>
      <c r="B21" s="802"/>
      <c r="C21" s="802"/>
      <c r="D21" s="802"/>
      <c r="E21" s="802"/>
      <c r="F21" s="802"/>
      <c r="G21" s="802"/>
      <c r="H21" s="802"/>
      <c r="I21" s="802"/>
      <c r="J21" s="802"/>
      <c r="K21" s="803"/>
    </row>
    <row r="22" spans="1:11" ht="63.75" customHeight="1" x14ac:dyDescent="0.2">
      <c r="A22" s="782" t="s">
        <v>336</v>
      </c>
      <c r="B22" s="783"/>
      <c r="C22" s="783"/>
      <c r="D22" s="783"/>
      <c r="E22" s="783"/>
      <c r="F22" s="783"/>
      <c r="G22" s="783"/>
      <c r="H22" s="783"/>
      <c r="I22" s="783"/>
      <c r="J22" s="783"/>
      <c r="K22" s="784"/>
    </row>
    <row r="23" spans="1:11" ht="45" customHeight="1" x14ac:dyDescent="0.25">
      <c r="A23" s="818" t="s">
        <v>345</v>
      </c>
      <c r="B23" s="819"/>
      <c r="C23" s="819"/>
      <c r="D23" s="819"/>
      <c r="E23" s="819"/>
      <c r="F23" s="819"/>
      <c r="G23" s="819"/>
      <c r="H23" s="819"/>
      <c r="I23" s="819"/>
      <c r="J23" s="819"/>
      <c r="K23" s="820"/>
    </row>
    <row r="24" spans="1:11" ht="42" customHeight="1" x14ac:dyDescent="0.2">
      <c r="A24" s="782" t="s">
        <v>910</v>
      </c>
      <c r="B24" s="783"/>
      <c r="C24" s="783"/>
      <c r="D24" s="783"/>
      <c r="E24" s="783"/>
      <c r="F24" s="783"/>
      <c r="G24" s="783"/>
      <c r="H24" s="783"/>
      <c r="I24" s="783"/>
      <c r="J24" s="783"/>
      <c r="K24" s="784"/>
    </row>
    <row r="25" spans="1:11" ht="42" customHeight="1" x14ac:dyDescent="0.2">
      <c r="A25" s="782" t="s">
        <v>922</v>
      </c>
      <c r="B25" s="783"/>
      <c r="C25" s="783"/>
      <c r="D25" s="783"/>
      <c r="E25" s="783"/>
      <c r="F25" s="783"/>
      <c r="G25" s="783"/>
      <c r="H25" s="783"/>
      <c r="I25" s="783"/>
      <c r="J25" s="783"/>
      <c r="K25" s="784"/>
    </row>
    <row r="26" spans="1:11" ht="42.6" customHeight="1" x14ac:dyDescent="0.2">
      <c r="A26" s="796" t="s">
        <v>923</v>
      </c>
      <c r="B26" s="797"/>
      <c r="C26" s="797"/>
      <c r="D26" s="797"/>
      <c r="E26" s="797"/>
      <c r="F26" s="797"/>
      <c r="G26" s="797"/>
      <c r="H26" s="797"/>
      <c r="I26" s="797"/>
      <c r="J26" s="797"/>
      <c r="K26" s="798"/>
    </row>
    <row r="27" spans="1:11" ht="19.350000000000001" customHeight="1" x14ac:dyDescent="0.2">
      <c r="A27" s="799" t="s">
        <v>296</v>
      </c>
      <c r="B27" s="802"/>
      <c r="C27" s="802"/>
      <c r="D27" s="802"/>
      <c r="E27" s="802"/>
      <c r="F27" s="802"/>
      <c r="G27" s="802"/>
      <c r="H27" s="802"/>
      <c r="I27" s="802"/>
      <c r="J27" s="802"/>
      <c r="K27" s="803"/>
    </row>
    <row r="28" spans="1:11" ht="100.35" customHeight="1" x14ac:dyDescent="0.2">
      <c r="A28" s="796" t="s">
        <v>911</v>
      </c>
      <c r="B28" s="797"/>
      <c r="C28" s="797"/>
      <c r="D28" s="797"/>
      <c r="E28" s="797"/>
      <c r="F28" s="797"/>
      <c r="G28" s="797"/>
      <c r="H28" s="797"/>
      <c r="I28" s="797"/>
      <c r="J28" s="797"/>
      <c r="K28" s="798"/>
    </row>
    <row r="29" spans="1:11" ht="18.600000000000001" customHeight="1" x14ac:dyDescent="0.2">
      <c r="A29" s="799" t="s">
        <v>297</v>
      </c>
      <c r="B29" s="800"/>
      <c r="C29" s="800"/>
      <c r="D29" s="800"/>
      <c r="E29" s="800"/>
      <c r="F29" s="800"/>
      <c r="G29" s="800"/>
      <c r="H29" s="800"/>
      <c r="I29" s="800"/>
      <c r="J29" s="800"/>
      <c r="K29" s="801"/>
    </row>
    <row r="30" spans="1:11" ht="90.6" customHeight="1" x14ac:dyDescent="0.2">
      <c r="A30" s="782" t="s">
        <v>912</v>
      </c>
      <c r="B30" s="783"/>
      <c r="C30" s="783"/>
      <c r="D30" s="783"/>
      <c r="E30" s="783"/>
      <c r="F30" s="783"/>
      <c r="G30" s="783"/>
      <c r="H30" s="783"/>
      <c r="I30" s="783"/>
      <c r="J30" s="783"/>
      <c r="K30" s="784"/>
    </row>
    <row r="31" spans="1:11" ht="83.25" customHeight="1" x14ac:dyDescent="0.2">
      <c r="A31" s="782"/>
      <c r="B31" s="783"/>
      <c r="C31" s="783"/>
      <c r="D31" s="783"/>
      <c r="E31" s="783"/>
      <c r="F31" s="783"/>
      <c r="G31" s="783"/>
      <c r="H31" s="783"/>
      <c r="I31" s="783"/>
      <c r="J31" s="783"/>
      <c r="K31" s="784"/>
    </row>
    <row r="32" spans="1:11" ht="72.75" customHeight="1" x14ac:dyDescent="0.2">
      <c r="A32" s="782" t="s">
        <v>27</v>
      </c>
      <c r="B32" s="783"/>
      <c r="C32" s="783"/>
      <c r="D32" s="783"/>
      <c r="E32" s="783"/>
      <c r="F32" s="783"/>
      <c r="G32" s="783"/>
      <c r="H32" s="783"/>
      <c r="I32" s="783"/>
      <c r="J32" s="783"/>
      <c r="K32" s="784"/>
    </row>
    <row r="33" spans="1:13" ht="167.25" customHeight="1" x14ac:dyDescent="0.2">
      <c r="A33" s="804"/>
      <c r="B33" s="805"/>
      <c r="C33" s="805"/>
      <c r="D33" s="805"/>
      <c r="E33" s="805"/>
      <c r="F33" s="805"/>
      <c r="G33" s="805"/>
      <c r="H33" s="805"/>
      <c r="I33" s="805"/>
      <c r="J33" s="805"/>
      <c r="K33" s="806"/>
    </row>
    <row r="34" spans="1:13" ht="98.25" customHeight="1" x14ac:dyDescent="0.2">
      <c r="A34" s="782" t="s">
        <v>836</v>
      </c>
      <c r="B34" s="783"/>
      <c r="C34" s="783"/>
      <c r="D34" s="783"/>
      <c r="E34" s="783"/>
      <c r="F34" s="783"/>
      <c r="G34" s="783"/>
      <c r="H34" s="783"/>
      <c r="I34" s="783"/>
      <c r="J34" s="783"/>
      <c r="K34" s="784"/>
      <c r="M34"/>
    </row>
    <row r="35" spans="1:13" ht="86.65" customHeight="1" x14ac:dyDescent="0.2">
      <c r="A35" s="782" t="s">
        <v>924</v>
      </c>
      <c r="B35" s="783"/>
      <c r="C35" s="783"/>
      <c r="D35" s="783"/>
      <c r="E35" s="783"/>
      <c r="F35" s="783"/>
      <c r="G35" s="783"/>
      <c r="H35" s="783"/>
      <c r="I35" s="783"/>
      <c r="J35" s="783"/>
      <c r="K35" s="784"/>
    </row>
    <row r="36" spans="1:13" ht="103.9" customHeight="1" x14ac:dyDescent="0.2">
      <c r="A36" s="782" t="s">
        <v>189</v>
      </c>
      <c r="B36" s="783"/>
      <c r="C36" s="783"/>
      <c r="D36" s="783"/>
      <c r="E36" s="783"/>
      <c r="F36" s="783"/>
      <c r="G36" s="783"/>
      <c r="H36" s="783"/>
      <c r="I36" s="783"/>
      <c r="J36" s="783"/>
      <c r="K36" s="784"/>
    </row>
    <row r="37" spans="1:13" ht="90" customHeight="1" x14ac:dyDescent="0.2">
      <c r="A37" s="782" t="s">
        <v>188</v>
      </c>
      <c r="B37" s="783"/>
      <c r="C37" s="783"/>
      <c r="D37" s="783"/>
      <c r="E37" s="783"/>
      <c r="F37" s="783"/>
      <c r="G37" s="783"/>
      <c r="H37" s="783"/>
      <c r="I37" s="783"/>
      <c r="J37" s="783"/>
      <c r="K37" s="784"/>
    </row>
    <row r="38" spans="1:13" ht="53.25" customHeight="1" x14ac:dyDescent="0.2">
      <c r="A38" s="796" t="s">
        <v>837</v>
      </c>
      <c r="B38" s="797"/>
      <c r="C38" s="797"/>
      <c r="D38" s="797"/>
      <c r="E38" s="797"/>
      <c r="F38" s="797"/>
      <c r="G38" s="797"/>
      <c r="H38" s="797"/>
      <c r="I38" s="797"/>
      <c r="J38" s="797"/>
      <c r="K38" s="798"/>
    </row>
    <row r="39" spans="1:13" ht="28.35" customHeight="1" x14ac:dyDescent="0.2">
      <c r="A39" s="799" t="s">
        <v>298</v>
      </c>
      <c r="B39" s="800"/>
      <c r="C39" s="800"/>
      <c r="D39" s="800"/>
      <c r="E39" s="800"/>
      <c r="F39" s="800"/>
      <c r="G39" s="800"/>
      <c r="H39" s="800"/>
      <c r="I39" s="800"/>
      <c r="J39" s="800"/>
      <c r="K39" s="801"/>
    </row>
    <row r="40" spans="1:13" ht="56.25" customHeight="1" x14ac:dyDescent="0.2">
      <c r="A40" s="782" t="s">
        <v>304</v>
      </c>
      <c r="B40" s="783"/>
      <c r="C40" s="783"/>
      <c r="D40" s="783"/>
      <c r="E40" s="783"/>
      <c r="F40" s="783"/>
      <c r="G40" s="783"/>
      <c r="H40" s="783"/>
      <c r="I40" s="783"/>
      <c r="J40" s="783"/>
      <c r="K40" s="784"/>
    </row>
    <row r="41" spans="1:13" ht="117" customHeight="1" x14ac:dyDescent="0.2">
      <c r="A41" s="782" t="s">
        <v>187</v>
      </c>
      <c r="B41" s="783"/>
      <c r="C41" s="783"/>
      <c r="D41" s="783"/>
      <c r="E41" s="783"/>
      <c r="F41" s="783"/>
      <c r="G41" s="783"/>
      <c r="H41" s="783"/>
      <c r="I41" s="783"/>
      <c r="J41" s="783"/>
      <c r="K41" s="784"/>
    </row>
    <row r="42" spans="1:13" ht="53.25" customHeight="1" x14ac:dyDescent="0.2">
      <c r="A42" s="782" t="s">
        <v>265</v>
      </c>
      <c r="B42" s="783"/>
      <c r="C42" s="783"/>
      <c r="D42" s="783"/>
      <c r="E42" s="783"/>
      <c r="F42" s="783"/>
      <c r="G42" s="783"/>
      <c r="H42" s="783"/>
      <c r="I42" s="783"/>
      <c r="J42" s="783"/>
      <c r="K42" s="784"/>
    </row>
    <row r="43" spans="1:13" ht="121.5" customHeight="1" x14ac:dyDescent="0.2">
      <c r="A43" s="804"/>
      <c r="B43" s="805"/>
      <c r="C43" s="805"/>
      <c r="D43" s="805"/>
      <c r="E43" s="805"/>
      <c r="F43" s="805"/>
      <c r="G43" s="805"/>
      <c r="H43" s="805"/>
      <c r="I43" s="805"/>
      <c r="J43" s="805"/>
      <c r="K43" s="806"/>
    </row>
    <row r="44" spans="1:13" ht="45" customHeight="1" x14ac:dyDescent="0.2">
      <c r="A44" s="782" t="s">
        <v>1</v>
      </c>
      <c r="B44" s="783"/>
      <c r="C44" s="783"/>
      <c r="D44" s="783"/>
      <c r="E44" s="783"/>
      <c r="F44" s="783"/>
      <c r="G44" s="783"/>
      <c r="H44" s="783"/>
      <c r="I44" s="783"/>
      <c r="J44" s="783"/>
      <c r="K44" s="784"/>
    </row>
    <row r="45" spans="1:13" ht="116.25" customHeight="1" x14ac:dyDescent="0.2">
      <c r="A45" s="804"/>
      <c r="B45" s="805"/>
      <c r="C45" s="805"/>
      <c r="D45" s="805"/>
      <c r="E45" s="805"/>
      <c r="F45" s="805"/>
      <c r="G45" s="805"/>
      <c r="H45" s="805"/>
      <c r="I45" s="805"/>
      <c r="J45" s="805"/>
      <c r="K45" s="806"/>
    </row>
    <row r="46" spans="1:13" ht="29.25" customHeight="1" x14ac:dyDescent="0.2">
      <c r="A46" s="782" t="s">
        <v>8</v>
      </c>
      <c r="B46" s="783"/>
      <c r="C46" s="783"/>
      <c r="D46" s="783"/>
      <c r="E46" s="783"/>
      <c r="F46" s="783"/>
      <c r="G46" s="783"/>
      <c r="H46" s="783"/>
      <c r="I46" s="783"/>
      <c r="J46" s="783"/>
      <c r="K46" s="784"/>
    </row>
    <row r="47" spans="1:13" ht="147.6" customHeight="1" x14ac:dyDescent="0.2">
      <c r="A47" s="807" t="s">
        <v>913</v>
      </c>
      <c r="B47" s="783"/>
      <c r="C47" s="783"/>
      <c r="D47" s="783"/>
      <c r="E47" s="783"/>
      <c r="F47" s="783"/>
      <c r="G47" s="783"/>
      <c r="H47" s="783"/>
      <c r="I47" s="783"/>
      <c r="J47" s="783"/>
      <c r="K47" s="784"/>
    </row>
    <row r="48" spans="1:13" ht="109.35" customHeight="1" x14ac:dyDescent="0.2">
      <c r="A48" s="807" t="s">
        <v>840</v>
      </c>
      <c r="B48" s="783"/>
      <c r="C48" s="783"/>
      <c r="D48" s="783"/>
      <c r="E48" s="783"/>
      <c r="F48" s="783"/>
      <c r="G48" s="783"/>
      <c r="H48" s="783"/>
      <c r="I48" s="783"/>
      <c r="J48" s="783"/>
      <c r="K48" s="784"/>
    </row>
    <row r="49" spans="1:11" ht="82.9" customHeight="1" x14ac:dyDescent="0.2">
      <c r="A49" s="807" t="s">
        <v>841</v>
      </c>
      <c r="B49" s="783"/>
      <c r="C49" s="783"/>
      <c r="D49" s="783"/>
      <c r="E49" s="783"/>
      <c r="F49" s="783"/>
      <c r="G49" s="783"/>
      <c r="H49" s="783"/>
      <c r="I49" s="783"/>
      <c r="J49" s="783"/>
      <c r="K49" s="784"/>
    </row>
    <row r="50" spans="1:11" ht="63" customHeight="1" x14ac:dyDescent="0.2">
      <c r="A50" s="807" t="s">
        <v>914</v>
      </c>
      <c r="B50" s="783"/>
      <c r="C50" s="783"/>
      <c r="D50" s="783"/>
      <c r="E50" s="783"/>
      <c r="F50" s="783"/>
      <c r="G50" s="783"/>
      <c r="H50" s="783"/>
      <c r="I50" s="783"/>
      <c r="J50" s="783"/>
      <c r="K50" s="784"/>
    </row>
    <row r="51" spans="1:11" ht="73.900000000000006" customHeight="1" x14ac:dyDescent="0.2">
      <c r="A51" s="807" t="s">
        <v>842</v>
      </c>
      <c r="B51" s="783"/>
      <c r="C51" s="783"/>
      <c r="D51" s="783"/>
      <c r="E51" s="783"/>
      <c r="F51" s="783"/>
      <c r="G51" s="783"/>
      <c r="H51" s="783"/>
      <c r="I51" s="783"/>
      <c r="J51" s="783"/>
      <c r="K51" s="784"/>
    </row>
    <row r="52" spans="1:11" ht="109.5" customHeight="1" x14ac:dyDescent="0.2">
      <c r="A52" s="807" t="s">
        <v>843</v>
      </c>
      <c r="B52" s="808"/>
      <c r="C52" s="808"/>
      <c r="D52" s="808"/>
      <c r="E52" s="808"/>
      <c r="F52" s="808"/>
      <c r="G52" s="808"/>
      <c r="H52" s="808"/>
      <c r="I52" s="808"/>
      <c r="J52" s="808"/>
      <c r="K52" s="809"/>
    </row>
    <row r="53" spans="1:11" ht="122.25" customHeight="1" x14ac:dyDescent="0.2">
      <c r="A53" s="810" t="s">
        <v>915</v>
      </c>
      <c r="B53" s="797"/>
      <c r="C53" s="797"/>
      <c r="D53" s="797"/>
      <c r="E53" s="797"/>
      <c r="F53" s="797"/>
      <c r="G53" s="797"/>
      <c r="H53" s="797"/>
      <c r="I53" s="797"/>
      <c r="J53" s="797"/>
      <c r="K53" s="798"/>
    </row>
    <row r="54" spans="1:11" ht="29.25" customHeight="1" x14ac:dyDescent="0.2">
      <c r="A54" s="789" t="s">
        <v>185</v>
      </c>
      <c r="B54" s="790"/>
      <c r="C54" s="790"/>
      <c r="D54" s="790"/>
      <c r="E54" s="790"/>
      <c r="F54" s="790"/>
      <c r="G54" s="790"/>
      <c r="H54" s="790"/>
      <c r="I54" s="790"/>
      <c r="J54" s="790"/>
      <c r="K54" s="791"/>
    </row>
    <row r="55" spans="1:11" ht="70.5" customHeight="1" x14ac:dyDescent="0.2">
      <c r="A55" s="782" t="s">
        <v>844</v>
      </c>
      <c r="B55" s="783"/>
      <c r="C55" s="783"/>
      <c r="D55" s="783"/>
      <c r="E55" s="783"/>
      <c r="F55" s="783"/>
      <c r="G55" s="783"/>
      <c r="H55" s="783"/>
      <c r="I55" s="783"/>
      <c r="J55" s="783"/>
      <c r="K55" s="784"/>
    </row>
    <row r="56" spans="1:11" ht="61.5" customHeight="1" x14ac:dyDescent="0.2">
      <c r="A56" s="782" t="s">
        <v>190</v>
      </c>
      <c r="B56" s="783"/>
      <c r="C56" s="783"/>
      <c r="D56" s="783"/>
      <c r="E56" s="783"/>
      <c r="F56" s="783"/>
      <c r="G56" s="783"/>
      <c r="H56" s="783"/>
      <c r="I56" s="783"/>
      <c r="J56" s="783"/>
      <c r="K56" s="784"/>
    </row>
    <row r="57" spans="1:11" ht="114" customHeight="1" x14ac:dyDescent="0.2">
      <c r="A57" s="782" t="s">
        <v>39</v>
      </c>
      <c r="B57" s="783"/>
      <c r="C57" s="783"/>
      <c r="D57" s="783"/>
      <c r="E57" s="783"/>
      <c r="F57" s="783"/>
      <c r="G57" s="783"/>
      <c r="H57" s="783"/>
      <c r="I57" s="783"/>
      <c r="J57" s="783"/>
      <c r="K57" s="784"/>
    </row>
    <row r="58" spans="1:11" ht="17.25" customHeight="1" x14ac:dyDescent="0.2">
      <c r="A58" s="811" t="s">
        <v>43</v>
      </c>
      <c r="B58" s="812"/>
      <c r="C58" s="812"/>
      <c r="D58" s="812"/>
      <c r="E58" s="812"/>
      <c r="F58" s="812"/>
      <c r="G58" s="812"/>
      <c r="H58" s="812"/>
      <c r="I58" s="812"/>
      <c r="J58" s="812"/>
      <c r="K58" s="813"/>
    </row>
    <row r="59" spans="1:11" x14ac:dyDescent="0.2">
      <c r="A59" s="64"/>
      <c r="B59" s="67" t="s">
        <v>40</v>
      </c>
      <c r="C59" s="814" t="s">
        <v>267</v>
      </c>
      <c r="D59" s="815"/>
      <c r="E59" s="815"/>
      <c r="F59" s="815"/>
      <c r="G59" s="815"/>
      <c r="H59" s="815"/>
      <c r="I59" s="67" t="s">
        <v>42</v>
      </c>
      <c r="J59" s="782"/>
      <c r="K59" s="784"/>
    </row>
    <row r="60" spans="1:11" x14ac:dyDescent="0.2">
      <c r="A60" s="64"/>
      <c r="B60" s="68" t="s">
        <v>41</v>
      </c>
      <c r="C60" s="69" t="s">
        <v>2</v>
      </c>
      <c r="D60" s="69" t="s">
        <v>3</v>
      </c>
      <c r="E60" s="69" t="s">
        <v>4</v>
      </c>
      <c r="F60" s="69" t="s">
        <v>6</v>
      </c>
      <c r="G60" s="69" t="s">
        <v>5</v>
      </c>
      <c r="H60" s="70" t="s">
        <v>7</v>
      </c>
      <c r="I60" s="68" t="s">
        <v>174</v>
      </c>
      <c r="J60" s="782"/>
      <c r="K60" s="784"/>
    </row>
    <row r="61" spans="1:11" x14ac:dyDescent="0.2">
      <c r="A61" s="64"/>
      <c r="B61" s="71" t="s">
        <v>156</v>
      </c>
      <c r="C61" s="72">
        <v>275</v>
      </c>
      <c r="D61" s="72">
        <v>40</v>
      </c>
      <c r="E61" s="72">
        <v>25</v>
      </c>
      <c r="F61" s="72">
        <v>610</v>
      </c>
      <c r="G61" s="72">
        <v>35</v>
      </c>
      <c r="H61" s="72">
        <v>270</v>
      </c>
      <c r="I61" s="73">
        <v>5</v>
      </c>
      <c r="J61" s="782"/>
      <c r="K61" s="784"/>
    </row>
    <row r="62" spans="1:11" x14ac:dyDescent="0.2">
      <c r="A62" s="64"/>
      <c r="B62" s="74" t="s">
        <v>157</v>
      </c>
      <c r="C62" s="72">
        <v>230</v>
      </c>
      <c r="D62" s="72">
        <v>15</v>
      </c>
      <c r="E62" s="72">
        <v>40</v>
      </c>
      <c r="F62" s="72">
        <v>330</v>
      </c>
      <c r="G62" s="72">
        <v>130</v>
      </c>
      <c r="H62" s="72">
        <v>235</v>
      </c>
      <c r="I62" s="73">
        <v>20</v>
      </c>
      <c r="J62" s="782"/>
      <c r="K62" s="784"/>
    </row>
    <row r="63" spans="1:11" x14ac:dyDescent="0.2">
      <c r="A63" s="64"/>
      <c r="B63" s="74" t="s">
        <v>158</v>
      </c>
      <c r="C63" s="72">
        <v>120</v>
      </c>
      <c r="D63" s="72">
        <v>4</v>
      </c>
      <c r="E63" s="72">
        <v>12</v>
      </c>
      <c r="F63" s="72">
        <v>55</v>
      </c>
      <c r="G63" s="72">
        <v>19</v>
      </c>
      <c r="H63" s="72">
        <v>315</v>
      </c>
      <c r="I63" s="73">
        <v>170</v>
      </c>
      <c r="J63" s="782"/>
      <c r="K63" s="784"/>
    </row>
    <row r="64" spans="1:11" x14ac:dyDescent="0.2">
      <c r="A64" s="64"/>
      <c r="B64" s="74" t="s">
        <v>159</v>
      </c>
      <c r="C64" s="72">
        <v>100</v>
      </c>
      <c r="D64" s="72">
        <v>20</v>
      </c>
      <c r="E64" s="72">
        <v>55</v>
      </c>
      <c r="F64" s="72">
        <v>140</v>
      </c>
      <c r="G64" s="72">
        <v>50</v>
      </c>
      <c r="H64" s="72">
        <v>285</v>
      </c>
      <c r="I64" s="73">
        <v>150</v>
      </c>
      <c r="J64" s="782"/>
      <c r="K64" s="784"/>
    </row>
    <row r="65" spans="1:11" x14ac:dyDescent="0.2">
      <c r="A65" s="64"/>
      <c r="B65" s="74" t="s">
        <v>160</v>
      </c>
      <c r="C65" s="72">
        <v>70</v>
      </c>
      <c r="D65" s="72">
        <v>6</v>
      </c>
      <c r="E65" s="72">
        <v>15</v>
      </c>
      <c r="F65" s="72">
        <v>40</v>
      </c>
      <c r="G65" s="72">
        <v>38</v>
      </c>
      <c r="H65" s="72">
        <v>166</v>
      </c>
      <c r="I65" s="73">
        <v>85</v>
      </c>
      <c r="J65" s="782"/>
      <c r="K65" s="784"/>
    </row>
    <row r="66" spans="1:11" x14ac:dyDescent="0.2">
      <c r="A66" s="64"/>
      <c r="B66" s="74" t="s">
        <v>161</v>
      </c>
      <c r="C66" s="72">
        <v>77</v>
      </c>
      <c r="D66" s="72">
        <v>17</v>
      </c>
      <c r="E66" s="72">
        <v>4</v>
      </c>
      <c r="F66" s="72">
        <v>18</v>
      </c>
      <c r="G66" s="72">
        <v>8</v>
      </c>
      <c r="H66" s="72">
        <v>295</v>
      </c>
      <c r="I66" s="73">
        <v>180</v>
      </c>
      <c r="J66" s="782"/>
      <c r="K66" s="784"/>
    </row>
    <row r="67" spans="1:11" x14ac:dyDescent="0.2">
      <c r="A67" s="64"/>
      <c r="B67" s="74" t="s">
        <v>162</v>
      </c>
      <c r="C67" s="72">
        <v>7</v>
      </c>
      <c r="D67" s="72">
        <v>2</v>
      </c>
      <c r="E67" s="72">
        <v>2</v>
      </c>
      <c r="F67" s="72">
        <v>8</v>
      </c>
      <c r="G67" s="72">
        <v>6</v>
      </c>
      <c r="H67" s="72">
        <v>16</v>
      </c>
      <c r="I67" s="73">
        <v>5</v>
      </c>
      <c r="J67" s="782"/>
      <c r="K67" s="784"/>
    </row>
    <row r="68" spans="1:11" x14ac:dyDescent="0.2">
      <c r="A68" s="75"/>
      <c r="B68" s="76" t="s">
        <v>163</v>
      </c>
      <c r="C68" s="77">
        <v>75</v>
      </c>
      <c r="D68" s="77">
        <v>15</v>
      </c>
      <c r="E68" s="77">
        <v>10</v>
      </c>
      <c r="F68" s="77">
        <v>60</v>
      </c>
      <c r="G68" s="77">
        <v>15</v>
      </c>
      <c r="H68" s="77">
        <v>225</v>
      </c>
      <c r="I68" s="78">
        <v>125</v>
      </c>
      <c r="J68" s="782"/>
      <c r="K68" s="784"/>
    </row>
    <row r="69" spans="1:11" ht="16.5" customHeight="1" x14ac:dyDescent="0.2">
      <c r="A69" s="782"/>
      <c r="B69" s="783"/>
      <c r="C69" s="783"/>
      <c r="D69" s="783"/>
      <c r="E69" s="783"/>
      <c r="F69" s="783"/>
      <c r="G69" s="783"/>
      <c r="H69" s="783"/>
      <c r="I69" s="783"/>
      <c r="J69" s="783"/>
      <c r="K69" s="784"/>
    </row>
    <row r="70" spans="1:11" ht="48" customHeight="1" x14ac:dyDescent="0.2">
      <c r="A70" s="782" t="s">
        <v>36</v>
      </c>
      <c r="B70" s="783"/>
      <c r="C70" s="783"/>
      <c r="D70" s="783"/>
      <c r="E70" s="783"/>
      <c r="F70" s="783"/>
      <c r="G70" s="783"/>
      <c r="H70" s="783"/>
      <c r="I70" s="783"/>
      <c r="J70" s="783"/>
      <c r="K70" s="784"/>
    </row>
    <row r="71" spans="1:11" ht="83.65" customHeight="1" x14ac:dyDescent="0.2">
      <c r="A71" s="782" t="s">
        <v>845</v>
      </c>
      <c r="B71" s="783"/>
      <c r="C71" s="783"/>
      <c r="D71" s="783"/>
      <c r="E71" s="783"/>
      <c r="F71" s="783"/>
      <c r="G71" s="783"/>
      <c r="H71" s="783"/>
      <c r="I71" s="783"/>
      <c r="J71" s="783"/>
      <c r="K71" s="784"/>
    </row>
    <row r="72" spans="1:11" ht="71.25" customHeight="1" x14ac:dyDescent="0.2">
      <c r="A72" s="782" t="s">
        <v>9</v>
      </c>
      <c r="B72" s="783"/>
      <c r="C72" s="783"/>
      <c r="D72" s="783"/>
      <c r="E72" s="783"/>
      <c r="F72" s="783"/>
      <c r="G72" s="783"/>
      <c r="H72" s="783"/>
      <c r="I72" s="783"/>
      <c r="J72" s="783"/>
      <c r="K72" s="784"/>
    </row>
    <row r="73" spans="1:11" ht="84" customHeight="1" x14ac:dyDescent="0.2">
      <c r="A73" s="782" t="s">
        <v>10</v>
      </c>
      <c r="B73" s="783"/>
      <c r="C73" s="783"/>
      <c r="D73" s="783"/>
      <c r="E73" s="783"/>
      <c r="F73" s="783"/>
      <c r="G73" s="783"/>
      <c r="H73" s="783"/>
      <c r="I73" s="783"/>
      <c r="J73" s="783"/>
      <c r="K73" s="784"/>
    </row>
    <row r="74" spans="1:11" ht="42" customHeight="1" x14ac:dyDescent="0.2">
      <c r="A74" s="796" t="s">
        <v>28</v>
      </c>
      <c r="B74" s="797"/>
      <c r="C74" s="797"/>
      <c r="D74" s="797"/>
      <c r="E74" s="797"/>
      <c r="F74" s="797"/>
      <c r="G74" s="797"/>
      <c r="H74" s="797"/>
      <c r="I74" s="797"/>
      <c r="J74" s="797"/>
      <c r="K74" s="798"/>
    </row>
    <row r="75" spans="1:11" ht="27" customHeight="1" x14ac:dyDescent="0.2">
      <c r="A75" s="799" t="s">
        <v>44</v>
      </c>
      <c r="B75" s="800"/>
      <c r="C75" s="800"/>
      <c r="D75" s="800"/>
      <c r="E75" s="800"/>
      <c r="F75" s="800"/>
      <c r="G75" s="800"/>
      <c r="H75" s="800"/>
      <c r="I75" s="800"/>
      <c r="J75" s="800"/>
      <c r="K75" s="801"/>
    </row>
    <row r="76" spans="1:11" ht="39" customHeight="1" x14ac:dyDescent="0.2">
      <c r="A76" s="782" t="s">
        <v>45</v>
      </c>
      <c r="B76" s="783"/>
      <c r="C76" s="783"/>
      <c r="D76" s="783"/>
      <c r="E76" s="783"/>
      <c r="F76" s="783"/>
      <c r="G76" s="783"/>
      <c r="H76" s="783"/>
      <c r="I76" s="783"/>
      <c r="J76" s="783"/>
      <c r="K76" s="784"/>
    </row>
    <row r="77" spans="1:11" ht="15.6" customHeight="1" x14ac:dyDescent="0.2">
      <c r="A77" s="782"/>
      <c r="B77" s="783"/>
      <c r="C77" s="783"/>
      <c r="D77" s="783"/>
      <c r="E77" s="783"/>
      <c r="F77" s="783"/>
      <c r="G77" s="783"/>
      <c r="H77" s="783"/>
      <c r="I77" s="783"/>
      <c r="J77" s="783"/>
      <c r="K77" s="784"/>
    </row>
    <row r="78" spans="1:11" ht="15.6" customHeight="1" x14ac:dyDescent="0.2">
      <c r="A78" s="782" t="s">
        <v>49</v>
      </c>
      <c r="B78" s="783"/>
      <c r="C78" s="783"/>
      <c r="D78" s="783"/>
      <c r="E78" s="783"/>
      <c r="F78" s="783"/>
      <c r="G78" s="783"/>
      <c r="H78" s="783"/>
      <c r="I78" s="783"/>
      <c r="J78" s="783"/>
      <c r="K78" s="784"/>
    </row>
    <row r="79" spans="1:11" ht="15.6" customHeight="1" x14ac:dyDescent="0.2">
      <c r="A79" s="782" t="s">
        <v>48</v>
      </c>
      <c r="B79" s="783"/>
      <c r="C79" s="783"/>
      <c r="D79" s="783"/>
      <c r="E79" s="783"/>
      <c r="F79" s="783"/>
      <c r="G79" s="783"/>
      <c r="H79" s="783"/>
      <c r="I79" s="783"/>
      <c r="J79" s="783"/>
      <c r="K79" s="784"/>
    </row>
    <row r="80" spans="1:11" ht="15.6" customHeight="1" x14ac:dyDescent="0.2">
      <c r="A80" s="782" t="s">
        <v>47</v>
      </c>
      <c r="B80" s="783"/>
      <c r="C80" s="783"/>
      <c r="D80" s="783"/>
      <c r="E80" s="783"/>
      <c r="F80" s="783"/>
      <c r="G80" s="783"/>
      <c r="H80" s="783"/>
      <c r="I80" s="783"/>
      <c r="J80" s="783"/>
      <c r="K80" s="784"/>
    </row>
    <row r="81" spans="1:11" ht="15" customHeight="1" x14ac:dyDescent="0.2">
      <c r="A81" s="796" t="s">
        <v>46</v>
      </c>
      <c r="B81" s="797"/>
      <c r="C81" s="797"/>
      <c r="D81" s="797"/>
      <c r="E81" s="797"/>
      <c r="F81" s="797"/>
      <c r="G81" s="797"/>
      <c r="H81" s="797"/>
      <c r="I81" s="797"/>
      <c r="J81" s="797"/>
      <c r="K81" s="798"/>
    </row>
    <row r="82" spans="1:11" ht="25.5" customHeight="1" x14ac:dyDescent="0.2">
      <c r="A82" s="789" t="s">
        <v>299</v>
      </c>
      <c r="B82" s="790"/>
      <c r="C82" s="790"/>
      <c r="D82" s="790"/>
      <c r="E82" s="790"/>
      <c r="F82" s="790"/>
      <c r="G82" s="790"/>
      <c r="H82" s="790"/>
      <c r="I82" s="790"/>
      <c r="J82" s="790"/>
      <c r="K82" s="791"/>
    </row>
    <row r="83" spans="1:11" ht="97.9" customHeight="1" x14ac:dyDescent="0.2">
      <c r="A83" s="782" t="s">
        <v>29</v>
      </c>
      <c r="B83" s="783"/>
      <c r="C83" s="783"/>
      <c r="D83" s="783"/>
      <c r="E83" s="783"/>
      <c r="F83" s="783"/>
      <c r="G83" s="783"/>
      <c r="H83" s="783"/>
      <c r="I83" s="783"/>
      <c r="J83" s="783"/>
      <c r="K83" s="784"/>
    </row>
    <row r="84" spans="1:11" ht="54" customHeight="1" x14ac:dyDescent="0.2">
      <c r="A84" s="782" t="s">
        <v>50</v>
      </c>
      <c r="B84" s="783"/>
      <c r="C84" s="783"/>
      <c r="D84" s="783"/>
      <c r="E84" s="783"/>
      <c r="F84" s="783"/>
      <c r="G84" s="783"/>
      <c r="H84" s="783"/>
      <c r="I84" s="783"/>
      <c r="J84" s="783"/>
      <c r="K84" s="784"/>
    </row>
    <row r="85" spans="1:11" ht="25.5" customHeight="1" x14ac:dyDescent="0.2">
      <c r="A85" s="782" t="s">
        <v>51</v>
      </c>
      <c r="B85" s="783"/>
      <c r="C85" s="783"/>
      <c r="D85" s="783"/>
      <c r="E85" s="783"/>
      <c r="F85" s="783"/>
      <c r="G85" s="783"/>
      <c r="H85" s="783"/>
      <c r="I85" s="783"/>
      <c r="J85" s="783"/>
      <c r="K85" s="784"/>
    </row>
    <row r="86" spans="1:11" ht="14.65" customHeight="1" x14ac:dyDescent="0.2">
      <c r="A86" s="782"/>
      <c r="B86" s="783"/>
      <c r="C86" s="783"/>
      <c r="D86" s="783"/>
      <c r="E86" s="783"/>
      <c r="F86" s="783"/>
      <c r="G86" s="783"/>
      <c r="H86" s="783"/>
      <c r="I86" s="783"/>
      <c r="J86" s="783"/>
      <c r="K86" s="784"/>
    </row>
    <row r="87" spans="1:11" ht="14.65" customHeight="1" x14ac:dyDescent="0.2">
      <c r="A87" s="782" t="s">
        <v>52</v>
      </c>
      <c r="B87" s="783"/>
      <c r="C87" s="783"/>
      <c r="D87" s="783"/>
      <c r="E87" s="783"/>
      <c r="F87" s="783"/>
      <c r="G87" s="783"/>
      <c r="H87" s="783"/>
      <c r="I87" s="783"/>
      <c r="J87" s="783"/>
      <c r="K87" s="784"/>
    </row>
    <row r="88" spans="1:11" ht="14.65" customHeight="1" x14ac:dyDescent="0.2">
      <c r="A88" s="782" t="s">
        <v>53</v>
      </c>
      <c r="B88" s="783"/>
      <c r="C88" s="783"/>
      <c r="D88" s="783"/>
      <c r="E88" s="783"/>
      <c r="F88" s="783"/>
      <c r="G88" s="783"/>
      <c r="H88" s="783"/>
      <c r="I88" s="783"/>
      <c r="J88" s="783"/>
      <c r="K88" s="784"/>
    </row>
    <row r="89" spans="1:11" ht="14.65" customHeight="1" x14ac:dyDescent="0.2">
      <c r="A89" s="782" t="s">
        <v>54</v>
      </c>
      <c r="B89" s="783"/>
      <c r="C89" s="783"/>
      <c r="D89" s="783"/>
      <c r="E89" s="783"/>
      <c r="F89" s="783"/>
      <c r="G89" s="783"/>
      <c r="H89" s="783"/>
      <c r="I89" s="783"/>
      <c r="J89" s="783"/>
      <c r="K89" s="784"/>
    </row>
    <row r="90" spans="1:11" ht="13.5" customHeight="1" x14ac:dyDescent="0.2">
      <c r="A90" s="782" t="s">
        <v>191</v>
      </c>
      <c r="B90" s="783"/>
      <c r="C90" s="783"/>
      <c r="D90" s="783"/>
      <c r="E90" s="783"/>
      <c r="F90" s="783"/>
      <c r="G90" s="783"/>
      <c r="H90" s="783"/>
      <c r="I90" s="783"/>
      <c r="J90" s="783"/>
      <c r="K90" s="784"/>
    </row>
    <row r="91" spans="1:11" ht="56.65" customHeight="1" x14ac:dyDescent="0.2">
      <c r="A91" s="807" t="s">
        <v>846</v>
      </c>
      <c r="B91" s="783"/>
      <c r="C91" s="783"/>
      <c r="D91" s="783"/>
      <c r="E91" s="783"/>
      <c r="F91" s="783"/>
      <c r="G91" s="783"/>
      <c r="H91" s="783"/>
      <c r="I91" s="783"/>
      <c r="J91" s="783"/>
      <c r="K91" s="784"/>
    </row>
    <row r="92" spans="1:11" ht="74.25" customHeight="1" x14ac:dyDescent="0.2">
      <c r="A92" s="807" t="s">
        <v>55</v>
      </c>
      <c r="B92" s="783"/>
      <c r="C92" s="783"/>
      <c r="D92" s="783"/>
      <c r="E92" s="783"/>
      <c r="F92" s="783"/>
      <c r="G92" s="783"/>
      <c r="H92" s="783"/>
      <c r="I92" s="783"/>
      <c r="J92" s="783"/>
      <c r="K92" s="784"/>
    </row>
    <row r="93" spans="1:11" ht="149.65" customHeight="1" x14ac:dyDescent="0.2">
      <c r="A93" s="807" t="s">
        <v>847</v>
      </c>
      <c r="B93" s="783"/>
      <c r="C93" s="783"/>
      <c r="D93" s="783"/>
      <c r="E93" s="783"/>
      <c r="F93" s="783"/>
      <c r="G93" s="783"/>
      <c r="H93" s="783"/>
      <c r="I93" s="783"/>
      <c r="J93" s="783"/>
      <c r="K93" s="784"/>
    </row>
    <row r="94" spans="1:11" ht="69" customHeight="1" x14ac:dyDescent="0.2">
      <c r="A94" s="807" t="s">
        <v>848</v>
      </c>
      <c r="B94" s="808"/>
      <c r="C94" s="808"/>
      <c r="D94" s="808"/>
      <c r="E94" s="808"/>
      <c r="F94" s="808"/>
      <c r="G94" s="808"/>
      <c r="H94" s="808"/>
      <c r="I94" s="808"/>
      <c r="J94" s="808"/>
      <c r="K94" s="809"/>
    </row>
    <row r="95" spans="1:11" ht="31.9" customHeight="1" x14ac:dyDescent="0.2">
      <c r="A95" s="789" t="s">
        <v>916</v>
      </c>
      <c r="B95" s="790"/>
      <c r="C95" s="790"/>
      <c r="D95" s="790"/>
      <c r="E95" s="790"/>
      <c r="F95" s="790"/>
      <c r="G95" s="790"/>
      <c r="H95" s="790"/>
      <c r="I95" s="790"/>
      <c r="J95" s="790"/>
      <c r="K95" s="791"/>
    </row>
    <row r="96" spans="1:11" ht="78.75" customHeight="1" x14ac:dyDescent="0.2">
      <c r="A96" s="796" t="s">
        <v>849</v>
      </c>
      <c r="B96" s="816"/>
      <c r="C96" s="816"/>
      <c r="D96" s="816"/>
      <c r="E96" s="816"/>
      <c r="F96" s="816"/>
      <c r="G96" s="816"/>
      <c r="H96" s="816"/>
      <c r="I96" s="816"/>
      <c r="J96" s="816"/>
      <c r="K96" s="817"/>
    </row>
    <row r="97" spans="1:11" ht="27.75" customHeight="1" x14ac:dyDescent="0.2">
      <c r="A97" s="799" t="s">
        <v>300</v>
      </c>
      <c r="B97" s="800"/>
      <c r="C97" s="800"/>
      <c r="D97" s="800"/>
      <c r="E97" s="800"/>
      <c r="F97" s="800"/>
      <c r="G97" s="800"/>
      <c r="H97" s="800"/>
      <c r="I97" s="800"/>
      <c r="J97" s="800"/>
      <c r="K97" s="801"/>
    </row>
    <row r="98" spans="1:11" ht="42.75" customHeight="1" x14ac:dyDescent="0.2">
      <c r="A98" s="782" t="s">
        <v>305</v>
      </c>
      <c r="B98" s="783"/>
      <c r="C98" s="783"/>
      <c r="D98" s="783"/>
      <c r="E98" s="783"/>
      <c r="F98" s="783"/>
      <c r="G98" s="783"/>
      <c r="H98" s="783"/>
      <c r="I98" s="783"/>
      <c r="J98" s="783"/>
      <c r="K98" s="784"/>
    </row>
    <row r="99" spans="1:11" ht="97.9" customHeight="1" x14ac:dyDescent="0.2">
      <c r="A99" s="782" t="s">
        <v>56</v>
      </c>
      <c r="B99" s="783"/>
      <c r="C99" s="783"/>
      <c r="D99" s="783"/>
      <c r="E99" s="783"/>
      <c r="F99" s="783"/>
      <c r="G99" s="783"/>
      <c r="H99" s="783"/>
      <c r="I99" s="783"/>
      <c r="J99" s="783"/>
      <c r="K99" s="784"/>
    </row>
    <row r="100" spans="1:11" ht="81.75" customHeight="1" x14ac:dyDescent="0.2">
      <c r="A100" s="782" t="s">
        <v>329</v>
      </c>
      <c r="B100" s="783"/>
      <c r="C100" s="783"/>
      <c r="D100" s="783"/>
      <c r="E100" s="783"/>
      <c r="F100" s="783"/>
      <c r="G100" s="783"/>
      <c r="H100" s="783"/>
      <c r="I100" s="783"/>
      <c r="J100" s="783"/>
      <c r="K100" s="784"/>
    </row>
    <row r="101" spans="1:11" ht="138" customHeight="1" x14ac:dyDescent="0.2">
      <c r="A101" s="782" t="s">
        <v>850</v>
      </c>
      <c r="B101" s="783"/>
      <c r="C101" s="783"/>
      <c r="D101" s="783"/>
      <c r="E101" s="783"/>
      <c r="F101" s="783"/>
      <c r="G101" s="783"/>
      <c r="H101" s="783"/>
      <c r="I101" s="783"/>
      <c r="J101" s="783"/>
      <c r="K101" s="784"/>
    </row>
    <row r="102" spans="1:11" ht="81.75" customHeight="1" x14ac:dyDescent="0.2">
      <c r="A102" s="782" t="s">
        <v>851</v>
      </c>
      <c r="B102" s="783"/>
      <c r="C102" s="783"/>
      <c r="D102" s="783"/>
      <c r="E102" s="783"/>
      <c r="F102" s="783"/>
      <c r="G102" s="783"/>
      <c r="H102" s="783"/>
      <c r="I102" s="783"/>
      <c r="J102" s="783"/>
      <c r="K102" s="784"/>
    </row>
    <row r="103" spans="1:11" ht="85.9" customHeight="1" x14ac:dyDescent="0.2">
      <c r="A103" s="796" t="s">
        <v>917</v>
      </c>
      <c r="B103" s="797"/>
      <c r="C103" s="797"/>
      <c r="D103" s="797"/>
      <c r="E103" s="797"/>
      <c r="F103" s="797"/>
      <c r="G103" s="797"/>
      <c r="H103" s="797"/>
      <c r="I103" s="797"/>
      <c r="J103" s="797"/>
      <c r="K103" s="798"/>
    </row>
    <row r="104" spans="1:11" ht="27.75" customHeight="1" x14ac:dyDescent="0.2">
      <c r="A104" s="799" t="s">
        <v>301</v>
      </c>
      <c r="B104" s="800"/>
      <c r="C104" s="800"/>
      <c r="D104" s="800"/>
      <c r="E104" s="800"/>
      <c r="F104" s="800"/>
      <c r="G104" s="800"/>
      <c r="H104" s="800"/>
      <c r="I104" s="800"/>
      <c r="J104" s="800"/>
      <c r="K104" s="801"/>
    </row>
    <row r="105" spans="1:11" ht="96.75" customHeight="1" x14ac:dyDescent="0.2">
      <c r="A105" s="782" t="s">
        <v>384</v>
      </c>
      <c r="B105" s="783"/>
      <c r="C105" s="783"/>
      <c r="D105" s="783"/>
      <c r="E105" s="783"/>
      <c r="F105" s="783"/>
      <c r="G105" s="783"/>
      <c r="H105" s="783"/>
      <c r="I105" s="783"/>
      <c r="J105" s="783"/>
      <c r="K105" s="784"/>
    </row>
    <row r="106" spans="1:11" ht="70.349999999999994" customHeight="1" x14ac:dyDescent="0.2">
      <c r="A106" s="782" t="s">
        <v>918</v>
      </c>
      <c r="B106" s="783"/>
      <c r="C106" s="783"/>
      <c r="D106" s="783"/>
      <c r="E106" s="783"/>
      <c r="F106" s="783"/>
      <c r="G106" s="783"/>
      <c r="H106" s="783"/>
      <c r="I106" s="783"/>
      <c r="J106" s="783"/>
      <c r="K106" s="784"/>
    </row>
    <row r="107" spans="1:11" ht="41.25" customHeight="1" x14ac:dyDescent="0.2">
      <c r="A107" s="782" t="s">
        <v>385</v>
      </c>
      <c r="B107" s="783"/>
      <c r="C107" s="783"/>
      <c r="D107" s="783"/>
      <c r="E107" s="783"/>
      <c r="F107" s="783"/>
      <c r="G107" s="783"/>
      <c r="H107" s="783"/>
      <c r="I107" s="783"/>
      <c r="J107" s="783"/>
      <c r="K107" s="784"/>
    </row>
    <row r="108" spans="1:11" ht="69" customHeight="1" x14ac:dyDescent="0.2">
      <c r="A108" s="782" t="s">
        <v>919</v>
      </c>
      <c r="B108" s="783"/>
      <c r="C108" s="783"/>
      <c r="D108" s="783"/>
      <c r="E108" s="783"/>
      <c r="F108" s="783"/>
      <c r="G108" s="783"/>
      <c r="H108" s="783"/>
      <c r="I108" s="783"/>
      <c r="J108" s="783"/>
      <c r="K108" s="784"/>
    </row>
    <row r="109" spans="1:11" ht="70.349999999999994" customHeight="1" x14ac:dyDescent="0.2">
      <c r="A109" s="782" t="s">
        <v>852</v>
      </c>
      <c r="B109" s="783"/>
      <c r="C109" s="783"/>
      <c r="D109" s="783"/>
      <c r="E109" s="783"/>
      <c r="F109" s="783"/>
      <c r="G109" s="783"/>
      <c r="H109" s="783"/>
      <c r="I109" s="783"/>
      <c r="J109" s="783"/>
      <c r="K109" s="784"/>
    </row>
    <row r="110" spans="1:11" ht="100.35" customHeight="1" x14ac:dyDescent="0.2">
      <c r="A110" s="782" t="s">
        <v>920</v>
      </c>
      <c r="B110" s="783"/>
      <c r="C110" s="783"/>
      <c r="D110" s="783"/>
      <c r="E110" s="783"/>
      <c r="F110" s="783"/>
      <c r="G110" s="783"/>
      <c r="H110" s="783"/>
      <c r="I110" s="783"/>
      <c r="J110" s="783"/>
      <c r="K110" s="784"/>
    </row>
    <row r="111" spans="1:11" ht="57" customHeight="1" x14ac:dyDescent="0.2">
      <c r="A111" s="782" t="s">
        <v>853</v>
      </c>
      <c r="B111" s="783"/>
      <c r="C111" s="783"/>
      <c r="D111" s="783"/>
      <c r="E111" s="783"/>
      <c r="F111" s="783"/>
      <c r="G111" s="783"/>
      <c r="H111" s="783"/>
      <c r="I111" s="783"/>
      <c r="J111" s="783"/>
      <c r="K111" s="784"/>
    </row>
    <row r="112" spans="1:11" ht="59.25" customHeight="1" x14ac:dyDescent="0.2">
      <c r="A112" s="807" t="s">
        <v>30</v>
      </c>
      <c r="B112" s="783"/>
      <c r="C112" s="783"/>
      <c r="D112" s="783"/>
      <c r="E112" s="783"/>
      <c r="F112" s="783"/>
      <c r="G112" s="783"/>
      <c r="H112" s="783"/>
      <c r="I112" s="783"/>
      <c r="J112" s="783"/>
      <c r="K112" s="784"/>
    </row>
    <row r="113" spans="1:11" ht="85.9" customHeight="1" x14ac:dyDescent="0.2">
      <c r="A113" s="782" t="s">
        <v>31</v>
      </c>
      <c r="B113" s="783"/>
      <c r="C113" s="783"/>
      <c r="D113" s="783"/>
      <c r="E113" s="783"/>
      <c r="F113" s="783"/>
      <c r="G113" s="783"/>
      <c r="H113" s="783"/>
      <c r="I113" s="783"/>
      <c r="J113" s="783"/>
      <c r="K113" s="784"/>
    </row>
    <row r="114" spans="1:11" ht="66.75" customHeight="1" x14ac:dyDescent="0.2">
      <c r="A114" s="782" t="s">
        <v>854</v>
      </c>
      <c r="B114" s="783"/>
      <c r="C114" s="783"/>
      <c r="D114" s="783"/>
      <c r="E114" s="783"/>
      <c r="F114" s="783"/>
      <c r="G114" s="783"/>
      <c r="H114" s="783"/>
      <c r="I114" s="783"/>
      <c r="J114" s="783"/>
      <c r="K114" s="784"/>
    </row>
    <row r="115" spans="1:11" ht="59.65" customHeight="1" x14ac:dyDescent="0.2">
      <c r="A115" s="782" t="s">
        <v>192</v>
      </c>
      <c r="B115" s="783"/>
      <c r="C115" s="783"/>
      <c r="D115" s="783"/>
      <c r="E115" s="783"/>
      <c r="F115" s="783"/>
      <c r="G115" s="783"/>
      <c r="H115" s="783"/>
      <c r="I115" s="783"/>
      <c r="J115" s="783"/>
      <c r="K115" s="784"/>
    </row>
    <row r="116" spans="1:11" ht="59.65" customHeight="1" x14ac:dyDescent="0.2">
      <c r="A116" s="782" t="s">
        <v>328</v>
      </c>
      <c r="B116" s="783"/>
      <c r="C116" s="783"/>
      <c r="D116" s="783"/>
      <c r="E116" s="783"/>
      <c r="F116" s="783"/>
      <c r="G116" s="783"/>
      <c r="H116" s="783"/>
      <c r="I116" s="783"/>
      <c r="J116" s="783"/>
      <c r="K116" s="784"/>
    </row>
    <row r="117" spans="1:11" ht="55.5" customHeight="1" x14ac:dyDescent="0.2">
      <c r="A117" s="782" t="s">
        <v>25</v>
      </c>
      <c r="B117" s="783"/>
      <c r="C117" s="783"/>
      <c r="D117" s="783"/>
      <c r="E117" s="783"/>
      <c r="F117" s="783"/>
      <c r="G117" s="783"/>
      <c r="H117" s="783"/>
      <c r="I117" s="783"/>
      <c r="J117" s="783"/>
      <c r="K117" s="784"/>
    </row>
    <row r="118" spans="1:11" ht="99" customHeight="1" x14ac:dyDescent="0.3">
      <c r="A118" s="782" t="s">
        <v>855</v>
      </c>
      <c r="B118" s="783"/>
      <c r="C118" s="783"/>
      <c r="D118" s="783"/>
      <c r="E118" s="783"/>
      <c r="F118" s="783"/>
      <c r="G118" s="783"/>
      <c r="H118" s="783"/>
      <c r="I118" s="783"/>
      <c r="J118" s="783"/>
      <c r="K118" s="784"/>
    </row>
    <row r="119" spans="1:11" ht="48" customHeight="1" x14ac:dyDescent="0.2">
      <c r="A119" s="782" t="s">
        <v>337</v>
      </c>
      <c r="B119" s="783"/>
      <c r="C119" s="783"/>
      <c r="D119" s="783"/>
      <c r="E119" s="783"/>
      <c r="F119" s="783"/>
      <c r="G119" s="783"/>
      <c r="H119" s="783"/>
      <c r="I119" s="783"/>
      <c r="J119" s="783"/>
      <c r="K119" s="784"/>
    </row>
    <row r="120" spans="1:11" ht="93.6" customHeight="1" x14ac:dyDescent="0.2">
      <c r="A120" s="782" t="s">
        <v>331</v>
      </c>
      <c r="B120" s="783"/>
      <c r="C120" s="783"/>
      <c r="D120" s="783"/>
      <c r="E120" s="783"/>
      <c r="F120" s="783"/>
      <c r="G120" s="783"/>
      <c r="H120" s="783"/>
      <c r="I120" s="783"/>
      <c r="J120" s="783"/>
      <c r="K120" s="784"/>
    </row>
    <row r="121" spans="1:11" ht="106.35" customHeight="1" x14ac:dyDescent="0.2">
      <c r="A121" s="782"/>
      <c r="B121" s="783"/>
      <c r="C121" s="783"/>
      <c r="D121" s="783"/>
      <c r="E121" s="783"/>
      <c r="F121" s="783"/>
      <c r="G121" s="783"/>
      <c r="H121" s="783"/>
      <c r="I121" s="783"/>
      <c r="J121" s="783"/>
      <c r="K121" s="784"/>
    </row>
    <row r="122" spans="1:11" ht="101.65" customHeight="1" x14ac:dyDescent="0.2">
      <c r="A122" s="782" t="s">
        <v>360</v>
      </c>
      <c r="B122" s="783"/>
      <c r="C122" s="783"/>
      <c r="D122" s="783"/>
      <c r="E122" s="783"/>
      <c r="F122" s="783"/>
      <c r="G122" s="783"/>
      <c r="H122" s="783"/>
      <c r="I122" s="783"/>
      <c r="J122" s="783"/>
      <c r="K122" s="784"/>
    </row>
    <row r="123" spans="1:11" ht="77.25" customHeight="1" x14ac:dyDescent="0.3">
      <c r="A123" s="782" t="s">
        <v>15</v>
      </c>
      <c r="B123" s="783"/>
      <c r="C123" s="783"/>
      <c r="D123" s="783"/>
      <c r="E123" s="783"/>
      <c r="F123" s="783"/>
      <c r="G123" s="783"/>
      <c r="H123" s="783"/>
      <c r="I123" s="783"/>
      <c r="J123" s="783"/>
      <c r="K123" s="784"/>
    </row>
    <row r="124" spans="1:11" ht="96.75" customHeight="1" x14ac:dyDescent="0.2">
      <c r="A124" s="782" t="s">
        <v>16</v>
      </c>
      <c r="B124" s="783"/>
      <c r="C124" s="783"/>
      <c r="D124" s="783"/>
      <c r="E124" s="783"/>
      <c r="F124" s="783"/>
      <c r="G124" s="783"/>
      <c r="H124" s="783"/>
      <c r="I124" s="783"/>
      <c r="J124" s="783"/>
      <c r="K124" s="784"/>
    </row>
    <row r="125" spans="1:11" ht="25.5" customHeight="1" x14ac:dyDescent="0.2">
      <c r="A125" s="811" t="s">
        <v>266</v>
      </c>
      <c r="B125" s="812"/>
      <c r="C125" s="812"/>
      <c r="D125" s="812"/>
      <c r="E125" s="812"/>
      <c r="F125" s="812"/>
      <c r="G125" s="812"/>
      <c r="H125" s="812"/>
      <c r="I125" s="812"/>
      <c r="J125" s="812"/>
      <c r="K125" s="813"/>
    </row>
    <row r="126" spans="1:11" ht="12.75" customHeight="1" x14ac:dyDescent="0.2">
      <c r="A126" s="64"/>
      <c r="B126" s="67" t="s">
        <v>40</v>
      </c>
      <c r="C126" s="814" t="s">
        <v>267</v>
      </c>
      <c r="D126" s="815"/>
      <c r="E126" s="815"/>
      <c r="F126" s="815"/>
      <c r="G126" s="815"/>
      <c r="H126" s="815"/>
      <c r="I126" s="67" t="s">
        <v>42</v>
      </c>
      <c r="J126" s="782"/>
      <c r="K126" s="784"/>
    </row>
    <row r="127" spans="1:11" ht="12.75" customHeight="1" x14ac:dyDescent="0.2">
      <c r="A127" s="64"/>
      <c r="B127" s="68" t="s">
        <v>41</v>
      </c>
      <c r="C127" s="69" t="s">
        <v>2</v>
      </c>
      <c r="D127" s="69" t="s">
        <v>3</v>
      </c>
      <c r="E127" s="69" t="s">
        <v>4</v>
      </c>
      <c r="F127" s="69" t="s">
        <v>6</v>
      </c>
      <c r="G127" s="69" t="s">
        <v>5</v>
      </c>
      <c r="H127" s="70" t="s">
        <v>7</v>
      </c>
      <c r="I127" s="68" t="s">
        <v>174</v>
      </c>
      <c r="J127" s="782"/>
      <c r="K127" s="784"/>
    </row>
    <row r="128" spans="1:11" ht="12.75" customHeight="1" x14ac:dyDescent="0.2">
      <c r="A128" s="64"/>
      <c r="B128" s="71" t="s">
        <v>156</v>
      </c>
      <c r="C128" s="72">
        <v>213</v>
      </c>
      <c r="D128" s="72">
        <v>40</v>
      </c>
      <c r="E128" s="72">
        <v>25</v>
      </c>
      <c r="F128" s="72">
        <v>610</v>
      </c>
      <c r="G128" s="72">
        <v>35</v>
      </c>
      <c r="H128" s="72">
        <v>80</v>
      </c>
      <c r="I128" s="79">
        <v>-109</v>
      </c>
      <c r="J128" s="65"/>
      <c r="K128" s="66"/>
    </row>
    <row r="129" spans="1:11" ht="12.75" customHeight="1" x14ac:dyDescent="0.2">
      <c r="A129" s="64"/>
      <c r="B129" s="74" t="s">
        <v>157</v>
      </c>
      <c r="C129" s="72">
        <v>179</v>
      </c>
      <c r="D129" s="72">
        <v>15</v>
      </c>
      <c r="E129" s="72">
        <v>40</v>
      </c>
      <c r="F129" s="72">
        <v>330</v>
      </c>
      <c r="G129" s="72">
        <v>130</v>
      </c>
      <c r="H129" s="72">
        <v>80</v>
      </c>
      <c r="I129" s="80">
        <v>-70</v>
      </c>
      <c r="J129" s="65"/>
      <c r="K129" s="66"/>
    </row>
    <row r="130" spans="1:11" ht="12.75" customHeight="1" x14ac:dyDescent="0.2">
      <c r="A130" s="64"/>
      <c r="B130" s="74" t="s">
        <v>158</v>
      </c>
      <c r="C130" s="72">
        <v>43</v>
      </c>
      <c r="D130" s="72">
        <v>4</v>
      </c>
      <c r="E130" s="72">
        <v>12</v>
      </c>
      <c r="F130" s="72">
        <v>55</v>
      </c>
      <c r="G130" s="72">
        <v>19</v>
      </c>
      <c r="H130" s="72">
        <v>80</v>
      </c>
      <c r="I130" s="80">
        <v>33</v>
      </c>
      <c r="J130" s="65"/>
      <c r="K130" s="66"/>
    </row>
    <row r="131" spans="1:11" ht="12.75" customHeight="1" x14ac:dyDescent="0.2">
      <c r="A131" s="64"/>
      <c r="B131" s="74" t="s">
        <v>159</v>
      </c>
      <c r="C131" s="72">
        <v>33</v>
      </c>
      <c r="D131" s="72">
        <v>20</v>
      </c>
      <c r="E131" s="72">
        <v>55</v>
      </c>
      <c r="F131" s="72">
        <v>140</v>
      </c>
      <c r="G131" s="72">
        <v>50</v>
      </c>
      <c r="H131" s="72">
        <v>80</v>
      </c>
      <c r="I131" s="80">
        <v>31</v>
      </c>
      <c r="J131" s="65"/>
      <c r="K131" s="66"/>
    </row>
    <row r="132" spans="1:11" ht="12.75" customHeight="1" x14ac:dyDescent="0.2">
      <c r="A132" s="64"/>
      <c r="B132" s="74" t="s">
        <v>160</v>
      </c>
      <c r="C132" s="72">
        <v>42</v>
      </c>
      <c r="D132" s="72">
        <v>6</v>
      </c>
      <c r="E132" s="72">
        <v>15</v>
      </c>
      <c r="F132" s="72">
        <v>40</v>
      </c>
      <c r="G132" s="72">
        <v>38</v>
      </c>
      <c r="H132" s="72">
        <v>80</v>
      </c>
      <c r="I132" s="80">
        <v>33</v>
      </c>
      <c r="J132" s="65"/>
      <c r="K132" s="66"/>
    </row>
    <row r="133" spans="1:11" ht="12.75" customHeight="1" x14ac:dyDescent="0.2">
      <c r="A133" s="64"/>
      <c r="B133" s="74" t="s">
        <v>161</v>
      </c>
      <c r="C133" s="72">
        <v>12</v>
      </c>
      <c r="D133" s="72">
        <v>17</v>
      </c>
      <c r="E133" s="72">
        <v>4</v>
      </c>
      <c r="F133" s="72">
        <v>18</v>
      </c>
      <c r="G133" s="72">
        <v>8</v>
      </c>
      <c r="H133" s="72">
        <v>95</v>
      </c>
      <c r="I133" s="80">
        <v>60</v>
      </c>
      <c r="J133" s="65"/>
      <c r="K133" s="66"/>
    </row>
    <row r="134" spans="1:11" ht="14.25" customHeight="1" x14ac:dyDescent="0.2">
      <c r="A134" s="64"/>
      <c r="B134" s="76" t="s">
        <v>163</v>
      </c>
      <c r="C134" s="77">
        <v>27</v>
      </c>
      <c r="D134" s="77">
        <v>15</v>
      </c>
      <c r="E134" s="77">
        <v>10</v>
      </c>
      <c r="F134" s="77">
        <v>60</v>
      </c>
      <c r="G134" s="77">
        <v>15</v>
      </c>
      <c r="H134" s="77">
        <v>80</v>
      </c>
      <c r="I134" s="81">
        <v>38</v>
      </c>
      <c r="J134" s="65"/>
      <c r="K134" s="66"/>
    </row>
    <row r="135" spans="1:11" ht="66.75" customHeight="1" x14ac:dyDescent="0.2">
      <c r="A135" s="782" t="s">
        <v>921</v>
      </c>
      <c r="B135" s="783"/>
      <c r="C135" s="783"/>
      <c r="D135" s="783"/>
      <c r="E135" s="783"/>
      <c r="F135" s="783"/>
      <c r="G135" s="783"/>
      <c r="H135" s="783"/>
      <c r="I135" s="783"/>
      <c r="J135" s="783"/>
      <c r="K135" s="784"/>
    </row>
    <row r="136" spans="1:11" ht="141" customHeight="1" x14ac:dyDescent="0.2">
      <c r="A136" s="796" t="s">
        <v>292</v>
      </c>
      <c r="B136" s="797"/>
      <c r="C136" s="797"/>
      <c r="D136" s="797"/>
      <c r="E136" s="797"/>
      <c r="F136" s="797"/>
      <c r="G136" s="797"/>
      <c r="H136" s="797"/>
      <c r="I136" s="797"/>
      <c r="J136" s="797"/>
      <c r="K136" s="798"/>
    </row>
    <row r="137" spans="1:11" ht="25.5" customHeight="1" x14ac:dyDescent="0.2">
      <c r="A137" s="799" t="s">
        <v>302</v>
      </c>
      <c r="B137" s="800"/>
      <c r="C137" s="800"/>
      <c r="D137" s="800"/>
      <c r="E137" s="800"/>
      <c r="F137" s="800"/>
      <c r="G137" s="800"/>
      <c r="H137" s="800"/>
      <c r="I137" s="800"/>
      <c r="J137" s="800"/>
      <c r="K137" s="801"/>
    </row>
    <row r="138" spans="1:11" ht="58.35" customHeight="1" x14ac:dyDescent="0.2">
      <c r="A138" s="782" t="s">
        <v>303</v>
      </c>
      <c r="B138" s="783"/>
      <c r="C138" s="783"/>
      <c r="D138" s="783"/>
      <c r="E138" s="783"/>
      <c r="F138" s="783"/>
      <c r="G138" s="783"/>
      <c r="H138" s="783"/>
      <c r="I138" s="783"/>
      <c r="J138" s="783"/>
      <c r="K138" s="784"/>
    </row>
    <row r="139" spans="1:11" ht="25.5" customHeight="1" x14ac:dyDescent="0.2">
      <c r="A139" s="807" t="s">
        <v>62</v>
      </c>
      <c r="B139" s="783"/>
      <c r="C139" s="783"/>
      <c r="D139" s="783"/>
      <c r="E139" s="783"/>
      <c r="F139" s="783"/>
      <c r="G139" s="783"/>
      <c r="H139" s="783"/>
      <c r="I139" s="783"/>
      <c r="J139" s="783"/>
      <c r="K139" s="784"/>
    </row>
    <row r="140" spans="1:11" ht="25.5" customHeight="1" x14ac:dyDescent="0.2">
      <c r="A140" s="807" t="s">
        <v>61</v>
      </c>
      <c r="B140" s="783"/>
      <c r="C140" s="783"/>
      <c r="D140" s="783"/>
      <c r="E140" s="783"/>
      <c r="F140" s="783"/>
      <c r="G140" s="783"/>
      <c r="H140" s="783"/>
      <c r="I140" s="783"/>
      <c r="J140" s="783"/>
      <c r="K140" s="784"/>
    </row>
    <row r="141" spans="1:11" ht="27" customHeight="1" x14ac:dyDescent="0.2">
      <c r="A141" s="807" t="s">
        <v>60</v>
      </c>
      <c r="B141" s="783"/>
      <c r="C141" s="783"/>
      <c r="D141" s="783"/>
      <c r="E141" s="783"/>
      <c r="F141" s="783"/>
      <c r="G141" s="783"/>
      <c r="H141" s="783"/>
      <c r="I141" s="783"/>
      <c r="J141" s="783"/>
      <c r="K141" s="784"/>
    </row>
    <row r="142" spans="1:11" ht="42" customHeight="1" x14ac:dyDescent="0.2">
      <c r="A142" s="807" t="s">
        <v>59</v>
      </c>
      <c r="B142" s="783"/>
      <c r="C142" s="783"/>
      <c r="D142" s="783"/>
      <c r="E142" s="783"/>
      <c r="F142" s="783"/>
      <c r="G142" s="783"/>
      <c r="H142" s="783"/>
      <c r="I142" s="783"/>
      <c r="J142" s="783"/>
      <c r="K142" s="784"/>
    </row>
    <row r="143" spans="1:11" ht="31.5" customHeight="1" x14ac:dyDescent="0.2">
      <c r="A143" s="807" t="s">
        <v>58</v>
      </c>
      <c r="B143" s="783"/>
      <c r="C143" s="783"/>
      <c r="D143" s="783"/>
      <c r="E143" s="783"/>
      <c r="F143" s="783"/>
      <c r="G143" s="783"/>
      <c r="H143" s="783"/>
      <c r="I143" s="783"/>
      <c r="J143" s="783"/>
      <c r="K143" s="784"/>
    </row>
    <row r="144" spans="1:11" ht="40.5" customHeight="1" x14ac:dyDescent="0.2">
      <c r="A144" s="807" t="s">
        <v>57</v>
      </c>
      <c r="B144" s="783"/>
      <c r="C144" s="783"/>
      <c r="D144" s="783"/>
      <c r="E144" s="783"/>
      <c r="F144" s="783"/>
      <c r="G144" s="783"/>
      <c r="H144" s="783"/>
      <c r="I144" s="783"/>
      <c r="J144" s="783"/>
      <c r="K144" s="784"/>
    </row>
    <row r="145" spans="1:11" ht="66.599999999999994" customHeight="1" x14ac:dyDescent="0.2">
      <c r="A145" s="807" t="s">
        <v>34</v>
      </c>
      <c r="B145" s="783"/>
      <c r="C145" s="783"/>
      <c r="D145" s="783"/>
      <c r="E145" s="783"/>
      <c r="F145" s="783"/>
      <c r="G145" s="783"/>
      <c r="H145" s="783"/>
      <c r="I145" s="783"/>
      <c r="J145" s="783"/>
      <c r="K145" s="784"/>
    </row>
    <row r="146" spans="1:11" ht="24.75" customHeight="1" x14ac:dyDescent="0.2">
      <c r="A146" s="807" t="s">
        <v>35</v>
      </c>
      <c r="B146" s="783"/>
      <c r="C146" s="783"/>
      <c r="D146" s="783"/>
      <c r="E146" s="783"/>
      <c r="F146" s="783"/>
      <c r="G146" s="783"/>
      <c r="H146" s="783"/>
      <c r="I146" s="783"/>
      <c r="J146" s="783"/>
      <c r="K146" s="784"/>
    </row>
    <row r="147" spans="1:11" ht="24.75" customHeight="1" x14ac:dyDescent="0.2">
      <c r="A147" s="807" t="s">
        <v>964</v>
      </c>
      <c r="B147" s="808"/>
      <c r="C147" s="808"/>
      <c r="D147" s="808"/>
      <c r="E147" s="808"/>
      <c r="F147" s="808"/>
      <c r="G147" s="808"/>
      <c r="H147" s="808"/>
      <c r="I147" s="808"/>
      <c r="J147" s="808"/>
      <c r="K147" s="809"/>
    </row>
    <row r="148" spans="1:11" ht="15.75" customHeight="1" x14ac:dyDescent="0.2">
      <c r="A148" s="810"/>
      <c r="B148" s="797"/>
      <c r="C148" s="797"/>
      <c r="D148" s="797"/>
      <c r="E148" s="797"/>
      <c r="F148" s="797"/>
      <c r="G148" s="797"/>
      <c r="H148" s="797"/>
      <c r="I148" s="797"/>
      <c r="J148" s="797"/>
      <c r="K148" s="798"/>
    </row>
    <row r="149" spans="1:11" ht="13.5" customHeight="1" x14ac:dyDescent="0.2"/>
    <row r="150" spans="1:11" ht="55.5" customHeight="1" x14ac:dyDescent="0.25">
      <c r="A150" s="821" t="s">
        <v>985</v>
      </c>
      <c r="B150" s="821"/>
      <c r="C150" s="821"/>
      <c r="D150" s="821"/>
      <c r="E150" s="821"/>
      <c r="F150" s="821"/>
      <c r="G150" s="821"/>
      <c r="H150" s="821"/>
      <c r="I150" s="821"/>
      <c r="J150" s="821"/>
      <c r="K150" s="821"/>
    </row>
  </sheetData>
  <sheetProtection password="A0CE" sheet="1" objects="1" scenarios="1"/>
  <mergeCells count="144">
    <mergeCell ref="A95:K95"/>
    <mergeCell ref="A110:K110"/>
    <mergeCell ref="A97:K97"/>
    <mergeCell ref="A98:K98"/>
    <mergeCell ref="A99:K99"/>
    <mergeCell ref="A100:K100"/>
    <mergeCell ref="A101:K101"/>
    <mergeCell ref="A102:K102"/>
    <mergeCell ref="A103:K103"/>
    <mergeCell ref="A104:K104"/>
    <mergeCell ref="A148:K148"/>
    <mergeCell ref="A150:K150"/>
    <mergeCell ref="A141:K141"/>
    <mergeCell ref="A142:K142"/>
    <mergeCell ref="A143:K143"/>
    <mergeCell ref="A144:K144"/>
    <mergeCell ref="A145:K145"/>
    <mergeCell ref="A146:K146"/>
    <mergeCell ref="A147:K147"/>
    <mergeCell ref="A139:K139"/>
    <mergeCell ref="A140:K140"/>
    <mergeCell ref="A123:K123"/>
    <mergeCell ref="A124:K124"/>
    <mergeCell ref="A125:K125"/>
    <mergeCell ref="C126:H126"/>
    <mergeCell ref="J126:K126"/>
    <mergeCell ref="J127:K127"/>
    <mergeCell ref="A136:K136"/>
    <mergeCell ref="A137:K137"/>
    <mergeCell ref="A138:K138"/>
    <mergeCell ref="A78:K78"/>
    <mergeCell ref="A79:K79"/>
    <mergeCell ref="A80:K80"/>
    <mergeCell ref="A81:K81"/>
    <mergeCell ref="A20:K20"/>
    <mergeCell ref="A135:K135"/>
    <mergeCell ref="A117:K117"/>
    <mergeCell ref="A118:K118"/>
    <mergeCell ref="A119:K119"/>
    <mergeCell ref="A120:K120"/>
    <mergeCell ref="A105:K105"/>
    <mergeCell ref="A106:K106"/>
    <mergeCell ref="A111:K111"/>
    <mergeCell ref="A112:K112"/>
    <mergeCell ref="A113:K113"/>
    <mergeCell ref="A114:K114"/>
    <mergeCell ref="A115:K115"/>
    <mergeCell ref="A116:K116"/>
    <mergeCell ref="A107:K107"/>
    <mergeCell ref="A108:K108"/>
    <mergeCell ref="A23:K23"/>
    <mergeCell ref="A121:K121"/>
    <mergeCell ref="A122:K122"/>
    <mergeCell ref="A109:K109"/>
    <mergeCell ref="A94:K94"/>
    <mergeCell ref="A96:K96"/>
    <mergeCell ref="A84:K84"/>
    <mergeCell ref="A85:K85"/>
    <mergeCell ref="A86:K86"/>
    <mergeCell ref="J68:K68"/>
    <mergeCell ref="A69:K69"/>
    <mergeCell ref="A82:K82"/>
    <mergeCell ref="A83:K83"/>
    <mergeCell ref="A72:K72"/>
    <mergeCell ref="A73:K73"/>
    <mergeCell ref="A74:K74"/>
    <mergeCell ref="A75:K75"/>
    <mergeCell ref="A76:K76"/>
    <mergeCell ref="A77:K77"/>
    <mergeCell ref="A70:K70"/>
    <mergeCell ref="A71:K71"/>
    <mergeCell ref="A88:K88"/>
    <mergeCell ref="A89:K89"/>
    <mergeCell ref="A90:K90"/>
    <mergeCell ref="A87:K87"/>
    <mergeCell ref="A91:K91"/>
    <mergeCell ref="A92:K92"/>
    <mergeCell ref="A93:K93"/>
    <mergeCell ref="J60:K60"/>
    <mergeCell ref="J61:K61"/>
    <mergeCell ref="J62:K62"/>
    <mergeCell ref="J63:K63"/>
    <mergeCell ref="J64:K64"/>
    <mergeCell ref="J65:K65"/>
    <mergeCell ref="J66:K66"/>
    <mergeCell ref="J67:K67"/>
    <mergeCell ref="A52:K52"/>
    <mergeCell ref="A53:K53"/>
    <mergeCell ref="A54:K54"/>
    <mergeCell ref="A55:K55"/>
    <mergeCell ref="A56:K56"/>
    <mergeCell ref="A57:K57"/>
    <mergeCell ref="A58:K58"/>
    <mergeCell ref="C59:H59"/>
    <mergeCell ref="J59:K59"/>
    <mergeCell ref="A48:K48"/>
    <mergeCell ref="A49:K49"/>
    <mergeCell ref="A50:K50"/>
    <mergeCell ref="A51:K51"/>
    <mergeCell ref="A46:K46"/>
    <mergeCell ref="A47:K47"/>
    <mergeCell ref="A40:K40"/>
    <mergeCell ref="A41:K41"/>
    <mergeCell ref="A42:K42"/>
    <mergeCell ref="A43:K43"/>
    <mergeCell ref="A45:K45"/>
    <mergeCell ref="A36:K36"/>
    <mergeCell ref="A37:K37"/>
    <mergeCell ref="A38:K38"/>
    <mergeCell ref="A39:K39"/>
    <mergeCell ref="A44:K44"/>
    <mergeCell ref="A35:K35"/>
    <mergeCell ref="A21:K21"/>
    <mergeCell ref="A22:K22"/>
    <mergeCell ref="A24:K24"/>
    <mergeCell ref="A26:K26"/>
    <mergeCell ref="A27:K27"/>
    <mergeCell ref="A28:K28"/>
    <mergeCell ref="A33:K33"/>
    <mergeCell ref="A25:K25"/>
    <mergeCell ref="A29:K29"/>
    <mergeCell ref="A6:K6"/>
    <mergeCell ref="A7:K7"/>
    <mergeCell ref="A16:K16"/>
    <mergeCell ref="A17:K17"/>
    <mergeCell ref="A34:K34"/>
    <mergeCell ref="F1:K1"/>
    <mergeCell ref="A4:K4"/>
    <mergeCell ref="A5:K5"/>
    <mergeCell ref="A2:E2"/>
    <mergeCell ref="A1:C1"/>
    <mergeCell ref="A8:K8"/>
    <mergeCell ref="A9:K9"/>
    <mergeCell ref="A10:K10"/>
    <mergeCell ref="A11:K11"/>
    <mergeCell ref="A18:K18"/>
    <mergeCell ref="A19:K19"/>
    <mergeCell ref="A30:K30"/>
    <mergeCell ref="A31:K31"/>
    <mergeCell ref="A32:K32"/>
    <mergeCell ref="A12:K12"/>
    <mergeCell ref="A13:K13"/>
    <mergeCell ref="A14:K14"/>
    <mergeCell ref="A15:K15"/>
  </mergeCells>
  <phoneticPr fontId="0" type="noConversion"/>
  <hyperlinks>
    <hyperlink ref="A2" r:id="rId1" xr:uid="{00000000-0004-0000-0800-000000000000}"/>
  </hyperlinks>
  <pageMargins left="0.7" right="0.7" top="0.75" bottom="0.75" header="0.3" footer="0.3"/>
  <pageSetup scale="71" fitToHeight="9" orientation="portrait" r:id="rId2"/>
  <headerFooter>
    <oddHeader>&amp;C&amp;"Arial,Bold"&amp;12Bru'n Water</oddHeader>
    <oddFooter>&amp;Lv.5.5&amp;CPage &amp;P&amp;R9/17/18</oddFooter>
  </headerFooter>
  <drawing r:id="rId3"/>
  <legacyDrawing r:id="rId4"/>
  <oleObjects>
    <mc:AlternateContent xmlns:mc="http://schemas.openxmlformats.org/markup-compatibility/2006">
      <mc:Choice Requires="x14">
        <oleObject progId="Equation.3" shapeId="474113" r:id="rId5">
          <objectPr defaultSize="0" autoPict="0" r:id="rId6">
            <anchor moveWithCells="1">
              <from>
                <xdr:col>0</xdr:col>
                <xdr:colOff>171450</xdr:colOff>
                <xdr:row>30</xdr:row>
                <xdr:rowOff>209550</xdr:rowOff>
              </from>
              <to>
                <xdr:col>10</xdr:col>
                <xdr:colOff>142875</xdr:colOff>
                <xdr:row>30</xdr:row>
                <xdr:rowOff>714375</xdr:rowOff>
              </to>
            </anchor>
          </objectPr>
        </oleObject>
      </mc:Choice>
      <mc:Fallback>
        <oleObject progId="Equation.3" shapeId="474113" r:id="rId5"/>
      </mc:Fallback>
    </mc:AlternateContent>
    <mc:AlternateContent xmlns:mc="http://schemas.openxmlformats.org/markup-compatibility/2006">
      <mc:Choice Requires="x14">
        <oleObject progId="Equation.3" shapeId="474114" r:id="rId7">
          <objectPr defaultSize="0" autoPict="0" r:id="rId8">
            <anchor moveWithCells="1">
              <from>
                <xdr:col>0</xdr:col>
                <xdr:colOff>314325</xdr:colOff>
                <xdr:row>120</xdr:row>
                <xdr:rowOff>285750</xdr:rowOff>
              </from>
              <to>
                <xdr:col>10</xdr:col>
                <xdr:colOff>104775</xdr:colOff>
                <xdr:row>120</xdr:row>
                <xdr:rowOff>876300</xdr:rowOff>
              </to>
            </anchor>
          </objectPr>
        </oleObject>
      </mc:Choice>
      <mc:Fallback>
        <oleObject progId="Equation.3" shapeId="474114" r:id="rId7"/>
      </mc:Fallback>
    </mc:AlternateContent>
  </oleObjec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38</vt:i4>
      </vt:variant>
    </vt:vector>
  </HeadingPairs>
  <TitlesOfParts>
    <vt:vector size="47" baseType="lpstr">
      <vt:lpstr>0. Instructions</vt:lpstr>
      <vt:lpstr>1. Water Report Input</vt:lpstr>
      <vt:lpstr>2. Sparge Acidification</vt:lpstr>
      <vt:lpstr>3. Grain Bill Input</vt:lpstr>
      <vt:lpstr>4. Water Adjustment</vt:lpstr>
      <vt:lpstr>5. Adjustment Summary</vt:lpstr>
      <vt:lpstr>6. Data Manager</vt:lpstr>
      <vt:lpstr>Raw Text Summary</vt:lpstr>
      <vt:lpstr>Water Knowledge</vt:lpstr>
      <vt:lpstr>Acid_Required</vt:lpstr>
      <vt:lpstr>Acid_Required2</vt:lpstr>
      <vt:lpstr>aciditytable</vt:lpstr>
      <vt:lpstr>acidtable</vt:lpstr>
      <vt:lpstr>acidtable2</vt:lpstr>
      <vt:lpstr>Adjvaritable</vt:lpstr>
      <vt:lpstr>alkalinity</vt:lpstr>
      <vt:lpstr>colortable</vt:lpstr>
      <vt:lpstr>Desired_pH</vt:lpstr>
      <vt:lpstr>dilution</vt:lpstr>
      <vt:lpstr>frac</vt:lpstr>
      <vt:lpstr>frac2</vt:lpstr>
      <vt:lpstr>mashtable</vt:lpstr>
      <vt:lpstr>mashvaritable</vt:lpstr>
      <vt:lpstr>mg_required</vt:lpstr>
      <vt:lpstr>mM_required</vt:lpstr>
      <vt:lpstr>mm_required2</vt:lpstr>
      <vt:lpstr>'0. Instructions'!Print_Area</vt:lpstr>
      <vt:lpstr>'1. Water Report Input'!Print_Area</vt:lpstr>
      <vt:lpstr>'2. Sparge Acidification'!Print_Area</vt:lpstr>
      <vt:lpstr>'3. Grain Bill Input'!Print_Area</vt:lpstr>
      <vt:lpstr>'4. Water Adjustment'!Print_Area</vt:lpstr>
      <vt:lpstr>'5. Adjustment Summary'!Print_Area</vt:lpstr>
      <vt:lpstr>'Raw Text Summary'!Print_Area</vt:lpstr>
      <vt:lpstr>'Water Knowledge'!Print_Area</vt:lpstr>
      <vt:lpstr>profiles</vt:lpstr>
      <vt:lpstr>sprgvaritable</vt:lpstr>
      <vt:lpstr>SRMEBCtable</vt:lpstr>
      <vt:lpstr>Start_pH</vt:lpstr>
      <vt:lpstr>strengthtable</vt:lpstr>
      <vt:lpstr>strengthtable2</vt:lpstr>
      <vt:lpstr>strtable</vt:lpstr>
      <vt:lpstr>strtable2</vt:lpstr>
      <vt:lpstr>table</vt:lpstr>
      <vt:lpstr>table2</vt:lpstr>
      <vt:lpstr>thresholdtable</vt:lpstr>
      <vt:lpstr>watervaritable</vt:lpstr>
      <vt:lpstr>watervaritable2</vt:lpstr>
    </vt:vector>
  </TitlesOfParts>
  <Company>Bru'n Solutions,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Bru'n Water 5</dc:title>
  <dc:subject>Brewing Water</dc:subject>
  <dc:creator>Martin Brungard</dc:creator>
  <cp:keywords>water profile pH mineral acid brewing mashing sparge</cp:keywords>
  <dc:description>Copyright 2018 Martin Brungard</dc:description>
  <cp:lastModifiedBy>Michael Weisz</cp:lastModifiedBy>
  <cp:lastPrinted>2021-04-03T20:28:39Z</cp:lastPrinted>
  <dcterms:created xsi:type="dcterms:W3CDTF">2000-07-06T14:21:11Z</dcterms:created>
  <dcterms:modified xsi:type="dcterms:W3CDTF">2022-10-29T02:09:42Z</dcterms:modified>
</cp:coreProperties>
</file>